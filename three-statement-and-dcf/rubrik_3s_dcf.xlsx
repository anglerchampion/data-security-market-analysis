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Assumptions" sheetId="2" state="visible" r:id="rId2"/>
    <sheet name="Model" sheetId="3" state="visible" r:id="rId3"/>
    <sheet name="DCF" sheetId="4" state="visible" r:id="rId4"/>
    <sheet name="Reconciliation" sheetId="5" state="visible" r:id="rId5"/>
    <sheet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(#,##0.0);&quot;-&quot;"/>
    <numFmt numFmtId="165" formatCode="0.0%;(0.0%);&quot;-&quot;"/>
    <numFmt numFmtId="166" formatCode="0.00;(0.00);&quot;-&quot;"/>
    <numFmt numFmtId="167" formatCode="#,##0.000;(#,##0.000);&quot;-&quot;"/>
    <numFmt numFmtId="168" formatCode="0.00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5" fillId="2" borderId="0" pivotButton="0" quotePrefix="0" xfId="0"/>
    <xf numFmtId="165" fontId="5" fillId="2" borderId="0" pivotButton="0" quotePrefix="0" xfId="0"/>
    <xf numFmtId="166" fontId="4" fillId="2" borderId="0" pivotButton="0" quotePrefix="0" xfId="0"/>
    <xf numFmtId="166" fontId="5" fillId="2" borderId="0" pivotButton="0" quotePrefix="0" xfId="0"/>
    <xf numFmtId="1" fontId="5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3" fillId="0" borderId="0" applyAlignment="1" pivotButton="0" quotePrefix="0" xfId="0">
      <alignment horizontal="right"/>
    </xf>
    <xf numFmtId="164" fontId="6" fillId="0" borderId="0" pivotButton="0" quotePrefix="0" xfId="0"/>
    <xf numFmtId="166" fontId="4" fillId="0" borderId="0" pivotButton="0" quotePrefix="0" xfId="0"/>
    <xf numFmtId="166" fontId="6" fillId="0" borderId="0" pivotButton="0" quotePrefix="0" xfId="0"/>
    <xf numFmtId="164" fontId="5" fillId="0" borderId="1" pivotButton="0" quotePrefix="0" xfId="0"/>
    <xf numFmtId="164" fontId="6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167" fontId="4" fillId="0" borderId="0" pivotButton="0" quotePrefix="0" xfId="0"/>
    <xf numFmtId="165" fontId="6" fillId="0" borderId="0" pivotButton="0" quotePrefix="0" xfId="0"/>
    <xf numFmtId="168" fontId="4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166" fontId="5" fillId="0" borderId="0" pivotButton="0" quotePrefix="0" xfId="0"/>
    <xf numFmtId="167" fontId="6" fillId="0" borderId="0" pivotButton="0" quotePrefix="0" xfId="0"/>
    <xf numFmtId="167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Rubrik (RBRK): three-statement model and DCF</t>
        </is>
      </c>
    </row>
    <row r="2">
      <c r="A2" s="2" t="inlineStr">
        <is>
          <t>Academic exercise. Not investment advice. Source data: Rubrik FY2026 Form 10-K and FY2027 Q2 earnings release.</t>
        </is>
      </c>
    </row>
    <row r="3">
      <c r="A3" t="inlineStr"/>
    </row>
    <row r="4">
      <c r="A4" s="3" t="inlineStr">
        <is>
          <t>How the model flows</t>
        </is>
      </c>
    </row>
    <row r="5">
      <c r="A5" s="4" t="inlineStr">
        <is>
          <t>1. Assumptions: every input lives here. Blue = typed input, yellow = key judgement or a value you should update.</t>
        </is>
      </c>
    </row>
    <row r="6">
      <c r="A6" s="4" t="inlineStr">
        <is>
          <t>2. Model: revenue build, then income statement, balance sheet and cash flow, FY2024A to FY2031E.</t>
        </is>
      </c>
    </row>
    <row r="7">
      <c r="A7" s="4" t="inlineStr">
        <is>
          <t xml:space="preserve">   Revenue comes from the subscription ARR growth-decay curve. Costs and working capital are % of revenue.</t>
        </is>
      </c>
    </row>
    <row r="8">
      <c r="A8" s="4" t="inlineStr">
        <is>
          <t xml:space="preserve">   The cash flow statement is built from balance sheet changes; closing cash feeds back into the balance sheet.</t>
        </is>
      </c>
    </row>
    <row r="9">
      <c r="A9" s="4" t="inlineStr">
        <is>
          <t>3. DCF: unlevered free cash flow from the Model for FY2027E to FY2031E, a five-year fade to FY2036E, then a terminal value.</t>
        </is>
      </c>
    </row>
    <row r="10">
      <c r="A10" s="4" t="inlineStr">
        <is>
          <t>4. Checks: balance sheet balance, ties to filed numbers, guidance reconciliation, and a backtest of the working-capital method.</t>
        </is>
      </c>
    </row>
    <row r="11">
      <c r="A11" s="4" t="inlineStr">
        <is>
          <t>5. Reconciliation: bridges the data security sector report's Rubrik revenue projection to this model, one input at a time.</t>
        </is>
      </c>
    </row>
    <row r="12">
      <c r="A12" t="inlineStr"/>
    </row>
    <row r="13">
      <c r="A13" s="3" t="inlineStr">
        <is>
          <t>Colour code</t>
        </is>
      </c>
    </row>
    <row r="14">
      <c r="A14" s="4" t="inlineStr">
        <is>
          <t>Blue text = hardcoded input (historical filed figures or assumptions). Black = formula. Green = link from another sheet.</t>
        </is>
      </c>
    </row>
    <row r="15">
      <c r="A15" t="inlineStr"/>
    </row>
    <row r="16">
      <c r="A16" s="3" t="inlineStr">
        <is>
          <t>Units</t>
        </is>
      </c>
    </row>
    <row r="17">
      <c r="A17" s="4" t="inlineStr">
        <is>
          <t>$ millions unless stated. Fiscal year ends 31 January (FY2026 = Feb 2025 to Jan 2026). Percentages stored as fractions.</t>
        </is>
      </c>
    </row>
    <row r="18">
      <c r="A18" t="inlineStr"/>
    </row>
    <row r="19">
      <c r="A19" s="3" t="inlineStr">
        <is>
          <t>Before relying on the DCF output</t>
        </is>
      </c>
    </row>
    <row r="20">
      <c r="A20" s="4" t="inlineStr">
        <is>
          <t>Update the yellow DCF inputs on the Assumptions sheet: risk-free rate, beta, current share price, and years elapsed.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7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Rubrik (RBRK): assumptions</t>
        </is>
      </c>
    </row>
    <row r="2">
      <c r="A2" s="2" t="inlineStr">
        <is>
          <t>$ millions unless stated. Blue = input. Yellow = key judgement or value to update. Notes give the source or basis.</t>
        </is>
      </c>
    </row>
    <row r="4">
      <c r="A4" s="3" t="inlineStr">
        <is>
          <t>Single-value inputs</t>
        </is>
      </c>
      <c r="B4" s="3" t="inlineStr">
        <is>
          <t>Value</t>
        </is>
      </c>
      <c r="C4" s="3" t="inlineStr">
        <is>
          <t>Source / basis</t>
        </is>
      </c>
    </row>
    <row r="5">
      <c r="A5" s="4" t="inlineStr">
        <is>
          <t>FY2026 exit subscription ARR</t>
        </is>
      </c>
      <c r="B5" s="5" t="n">
        <v>1462.092</v>
      </c>
      <c r="C5" s="2" t="inlineStr">
        <is>
          <t>Q4 FY2026 earnings release: $1,462,092k</t>
        </is>
      </c>
    </row>
    <row r="6">
      <c r="A6" s="4" t="inlineStr">
        <is>
          <t>FY2027 exit subscription ARR, guidance midpoint</t>
        </is>
      </c>
      <c r="B6" s="6" t="n">
        <v>1882.5</v>
      </c>
      <c r="C6" s="2" t="inlineStr">
        <is>
          <t>Q2 FY2027 release: $1,880m to $1,885m</t>
        </is>
      </c>
    </row>
    <row r="7">
      <c r="A7" s="4" t="inlineStr">
        <is>
          <t>FY2027 revenue, guidance midpoint</t>
        </is>
      </c>
      <c r="B7" s="6" t="n">
        <v>1689</v>
      </c>
      <c r="C7" s="2" t="inlineStr">
        <is>
          <t>Q2 FY2027 release: $1,685m to $1,693m</t>
        </is>
      </c>
    </row>
    <row r="8">
      <c r="A8" s="4" t="inlineStr">
        <is>
          <t>Market growth rate (decay floor)</t>
        </is>
      </c>
      <c r="B8" s="7" t="n">
        <v>0.1712</v>
      </c>
      <c r="C8" s="2" t="inlineStr">
        <is>
          <t>Mordor Intelligence data security CAGR; growth above this = share gain</t>
        </is>
      </c>
    </row>
    <row r="9">
      <c r="A9" s="4" t="inlineStr">
        <is>
          <t>Decay factor k</t>
        </is>
      </c>
      <c r="B9" s="8">
        <f>ROUND((Model!D7-B8)/(Model!C7-B8),2)</f>
        <v/>
      </c>
      <c r="C9" s="2" t="inlineStr">
        <is>
          <t>Formula: FY2026 gap above market growth / FY2025 gap, from filed exit ARR FY2024 to FY2026 (Model row 7), rounded. 16.70pp / 22.24pp = 0.751</t>
        </is>
      </c>
    </row>
    <row r="10">
      <c r="A10" s="4" t="inlineStr">
        <is>
          <t>Revenue / average ARR, FY2028E onward</t>
        </is>
      </c>
      <c r="B10" s="9" t="n">
        <v>1</v>
      </c>
      <c r="C10" s="2" t="inlineStr">
        <is>
          <t>FY2027 implies about 1.01 incl. residual material rights; about 1.00 excluding them</t>
        </is>
      </c>
    </row>
    <row r="11">
      <c r="A11" s="4" t="inlineStr">
        <is>
          <t>Accounts receivable days (DSO)</t>
        </is>
      </c>
      <c r="B11" s="10" t="n">
        <v>70</v>
      </c>
      <c r="C11" s="2" t="inlineStr">
        <is>
          <t>FY2026 year-end 71 days; FY2025 73 days</t>
        </is>
      </c>
    </row>
    <row r="12">
      <c r="A12" s="4" t="inlineStr">
        <is>
          <t>Deferred commissions, current (% revenue)</t>
        </is>
      </c>
      <c r="B12" s="11" t="n">
        <v>0.08</v>
      </c>
      <c r="C12" s="2" t="inlineStr">
        <is>
          <t>FY2026: 8.4%</t>
        </is>
      </c>
    </row>
    <row r="13">
      <c r="A13" s="4" t="inlineStr">
        <is>
          <t>Deferred commissions, noncurrent (% revenue)</t>
        </is>
      </c>
      <c r="B13" s="11" t="n">
        <v>0.115</v>
      </c>
      <c r="C13" s="2" t="inlineStr">
        <is>
          <t>FY2026: 12.0%</t>
        </is>
      </c>
    </row>
    <row r="14">
      <c r="A14" s="4" t="inlineStr">
        <is>
          <t>Prepaid and other current assets (% revenue)</t>
        </is>
      </c>
      <c r="B14" s="11" t="n">
        <v>0.11</v>
      </c>
      <c r="C14" s="2" t="inlineStr">
        <is>
          <t>FY2026: 13.7%; lower by Jul 2026</t>
        </is>
      </c>
    </row>
    <row r="15">
      <c r="A15" s="4" t="inlineStr">
        <is>
          <t>Accounts payable (% revenue)</t>
        </is>
      </c>
      <c r="B15" s="11" t="n">
        <v>0.011</v>
      </c>
      <c r="C15" s="2" t="inlineStr">
        <is>
          <t>FY2026: 1.2%</t>
        </is>
      </c>
    </row>
    <row r="16">
      <c r="A16" s="4" t="inlineStr">
        <is>
          <t>Accrued and other current liabilities (% revenue)</t>
        </is>
      </c>
      <c r="B16" s="11" t="n">
        <v>0.15</v>
      </c>
      <c r="C16" s="2" t="inlineStr">
        <is>
          <t>FY2026: 17.5%; lower by Jul 2026</t>
        </is>
      </c>
    </row>
    <row r="17">
      <c r="A17" s="4" t="inlineStr">
        <is>
          <t>Deferred revenue: current share of total</t>
        </is>
      </c>
      <c r="B17" s="11" t="n">
        <v>0.6</v>
      </c>
      <c r="C17" s="2" t="inlineStr">
        <is>
          <t>FY2026: 58%; Jul 2026: 61%</t>
        </is>
      </c>
    </row>
    <row r="18">
      <c r="A18" s="4" t="inlineStr">
        <is>
          <t>Interest yield on opening cash and investments</t>
        </is>
      </c>
      <c r="B18" s="11" t="n">
        <v>0.035</v>
      </c>
      <c r="C18" s="2" t="inlineStr">
        <is>
          <t>FY2026 about 4.4%; H1 FY2027 annualised about 3.8%. Opening balance avoids a circular reference</t>
        </is>
      </c>
    </row>
    <row r="19">
      <c r="A19" s="4" t="inlineStr">
        <is>
          <t>Convertible notes, face value</t>
        </is>
      </c>
      <c r="B19" s="5" t="n">
        <v>1150</v>
      </c>
      <c r="C19" s="2" t="inlineStr">
        <is>
          <t>0.00% convertible senior notes due 2030</t>
        </is>
      </c>
    </row>
    <row r="20">
      <c r="A20" s="4" t="inlineStr">
        <is>
          <t>Annual accretion of note discount</t>
        </is>
      </c>
      <c r="B20" s="5" t="n">
        <v>4.4</v>
      </c>
      <c r="C20" s="2" t="inlineStr">
        <is>
          <t>Carrying value rose $2.2m in H1 FY2027</t>
        </is>
      </c>
    </row>
    <row r="22">
      <c r="A22" s="3" t="inlineStr">
        <is>
          <t>Per-year drivers</t>
        </is>
      </c>
      <c r="C22" s="3" t="inlineStr">
        <is>
          <t>Source / basis</t>
        </is>
      </c>
      <c r="E22" s="3" t="inlineStr">
        <is>
          <t>FY2027E</t>
        </is>
      </c>
      <c r="F22" s="3" t="inlineStr">
        <is>
          <t>FY2028E</t>
        </is>
      </c>
      <c r="G22" s="3" t="inlineStr">
        <is>
          <t>FY2029E</t>
        </is>
      </c>
      <c r="H22" s="3" t="inlineStr">
        <is>
          <t>FY2030E</t>
        </is>
      </c>
      <c r="I22" s="3" t="inlineStr">
        <is>
          <t>FY2031E</t>
        </is>
      </c>
    </row>
    <row r="23">
      <c r="A23" s="4" t="inlineStr">
        <is>
          <t>Cost of revenue (% revenue)</t>
        </is>
      </c>
      <c r="C23" s="2" t="inlineStr">
        <is>
          <t>FY2026: 19.9%; H1 FY2027: 20.6%</t>
        </is>
      </c>
      <c r="E23" s="11" t="n">
        <v>0.205</v>
      </c>
      <c r="F23" s="11" t="n">
        <v>0.205</v>
      </c>
      <c r="G23" s="11" t="n">
        <v>0.205</v>
      </c>
      <c r="H23" s="11" t="n">
        <v>0.205</v>
      </c>
      <c r="I23" s="11" t="n">
        <v>0.205</v>
      </c>
    </row>
    <row r="24">
      <c r="A24" s="4" t="inlineStr">
        <is>
          <t>Research and development (% revenue)</t>
        </is>
      </c>
      <c r="C24" s="2" t="inlineStr">
        <is>
          <t>FY2026: 28.4%; H1 FY2027: 29.6%</t>
        </is>
      </c>
      <c r="E24" s="7" t="n">
        <v>0.295</v>
      </c>
      <c r="F24" s="7" t="n">
        <v>0.28</v>
      </c>
      <c r="G24" s="7" t="n">
        <v>0.265</v>
      </c>
      <c r="H24" s="7" t="n">
        <v>0.25</v>
      </c>
      <c r="I24" s="7" t="n">
        <v>0.24</v>
      </c>
    </row>
    <row r="25">
      <c r="A25" s="4" t="inlineStr">
        <is>
          <t>Sales and marketing (% revenue)</t>
        </is>
      </c>
      <c r="C25" s="2" t="inlineStr">
        <is>
          <t>FY2026: 58.4%; H1 FY2027: 51.3%</t>
        </is>
      </c>
      <c r="E25" s="7" t="n">
        <v>0.52</v>
      </c>
      <c r="F25" s="7" t="n">
        <v>0.48</v>
      </c>
      <c r="G25" s="7" t="n">
        <v>0.445</v>
      </c>
      <c r="H25" s="7" t="n">
        <v>0.415</v>
      </c>
      <c r="I25" s="7" t="n">
        <v>0.39</v>
      </c>
    </row>
    <row r="26">
      <c r="A26" s="4" t="inlineStr">
        <is>
          <t>General and administrative (% revenue)</t>
        </is>
      </c>
      <c r="C26" s="2" t="inlineStr">
        <is>
          <t>FY2026: 19.5%; H1 FY2027: 13.8%</t>
        </is>
      </c>
      <c r="E26" s="7" t="n">
        <v>0.14</v>
      </c>
      <c r="F26" s="7" t="n">
        <v>0.125</v>
      </c>
      <c r="G26" s="7" t="n">
        <v>0.115</v>
      </c>
      <c r="H26" s="7" t="n">
        <v>0.105</v>
      </c>
      <c r="I26" s="7" t="n">
        <v>0.1</v>
      </c>
    </row>
    <row r="27">
      <c r="A27" s="4" t="inlineStr">
        <is>
          <t>Stock-based compensation (% revenue, memo)</t>
        </is>
      </c>
      <c r="C27" s="2" t="inlineStr">
        <is>
          <t>Already inside the cost lines above. FY2026: 25.0%; H1 FY2027: 21.4%</t>
        </is>
      </c>
      <c r="E27" s="7" t="n">
        <v>0.21</v>
      </c>
      <c r="F27" s="7" t="n">
        <v>0.19</v>
      </c>
      <c r="G27" s="7" t="n">
        <v>0.17</v>
      </c>
      <c r="H27" s="7" t="n">
        <v>0.155</v>
      </c>
      <c r="I27" s="7" t="n">
        <v>0.14</v>
      </c>
    </row>
    <row r="28">
      <c r="A28" s="4" t="inlineStr">
        <is>
          <t>Depreciation (% revenue)</t>
        </is>
      </c>
      <c r="C28" s="2" t="inlineStr">
        <is>
          <t>PP&amp;E and capitalised software</t>
        </is>
      </c>
      <c r="E28" s="11" t="n">
        <v>0.023</v>
      </c>
      <c r="F28" s="11" t="n">
        <v>0.023</v>
      </c>
      <c r="G28" s="11" t="n">
        <v>0.023</v>
      </c>
      <c r="H28" s="11" t="n">
        <v>0.023</v>
      </c>
      <c r="I28" s="11" t="n">
        <v>0.023</v>
      </c>
    </row>
    <row r="29">
      <c r="A29" s="4" t="inlineStr">
        <is>
          <t>Amortisation of acquired intangibles ($m)</t>
        </is>
      </c>
      <c r="C29" s="2" t="inlineStr">
        <is>
          <t>Trailing twelve months to Jul 2026: $11.3m</t>
        </is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</row>
    <row r="30">
      <c r="A30" s="4" t="inlineStr">
        <is>
          <t>Capex incl. capitalised software (% revenue)</t>
        </is>
      </c>
      <c r="C30" s="2" t="inlineStr">
        <is>
          <t>FY2026: 3.4%; H1 FY2027: 2.4%</t>
        </is>
      </c>
      <c r="E30" s="11" t="n">
        <v>0.026</v>
      </c>
      <c r="F30" s="11" t="n">
        <v>0.026</v>
      </c>
      <c r="G30" s="11" t="n">
        <v>0.026</v>
      </c>
      <c r="H30" s="11" t="n">
        <v>0.026</v>
      </c>
      <c r="I30" s="11" t="n">
        <v>0.026</v>
      </c>
    </row>
    <row r="31">
      <c r="A31" s="4" t="inlineStr">
        <is>
          <t>Cash taxes (% revenue)</t>
        </is>
      </c>
      <c r="C31" s="2" t="inlineStr">
        <is>
          <t>Mostly foreign; $1.35bn of US federal NOLs</t>
        </is>
      </c>
      <c r="E31" s="11" t="n">
        <v>0.012</v>
      </c>
      <c r="F31" s="11" t="n">
        <v>0.012</v>
      </c>
      <c r="G31" s="11" t="n">
        <v>0.012</v>
      </c>
      <c r="H31" s="11" t="n">
        <v>0.012</v>
      </c>
      <c r="I31" s="11" t="n">
        <v>0.012</v>
      </c>
    </row>
    <row r="32">
      <c r="A32" s="4" t="inlineStr">
        <is>
          <t>Deferred revenue, total (% revenue)</t>
        </is>
      </c>
      <c r="C32" s="2" t="inlineStr">
        <is>
          <t>FY2025: 160%; FY2026: 140%. FY2027 calibrated to FCF guidance (see Checks)</t>
        </is>
      </c>
      <c r="E32" s="7" t="n">
        <v>1.274</v>
      </c>
      <c r="F32" s="7" t="n">
        <v>1.25</v>
      </c>
      <c r="G32" s="7" t="n">
        <v>1.23</v>
      </c>
      <c r="H32" s="7" t="n">
        <v>1.22</v>
      </c>
      <c r="I32" s="7" t="n">
        <v>1.21</v>
      </c>
    </row>
    <row r="33">
      <c r="A33" s="4" t="inlineStr">
        <is>
          <t>Acquisitions ($m)</t>
        </is>
      </c>
      <c r="C33" s="2" t="inlineStr">
        <is>
          <t>Strata.io in FY2027; goodwill $199.6m to $223.2m</t>
        </is>
      </c>
      <c r="E33" s="5" t="n">
        <v>23.591</v>
      </c>
      <c r="F33" s="5" t="n">
        <v>0</v>
      </c>
      <c r="G33" s="5" t="n">
        <v>0</v>
      </c>
      <c r="H33" s="5" t="n">
        <v>0</v>
      </c>
      <c r="I33" s="5" t="n">
        <v>0</v>
      </c>
    </row>
    <row r="35">
      <c r="A35" s="3" t="inlineStr">
        <is>
          <t>DCF inputs</t>
        </is>
      </c>
    </row>
    <row r="36">
      <c r="A36" s="4" t="inlineStr">
        <is>
          <t>Valuation date</t>
        </is>
      </c>
      <c r="B36" s="12" t="inlineStr">
        <is>
          <t>31 Jan 2026</t>
        </is>
      </c>
      <c r="C36" s="2" t="inlineStr">
        <is>
          <t>Last audited balance sheet; model base</t>
        </is>
      </c>
    </row>
    <row r="37">
      <c r="A37" s="4" t="inlineStr">
        <is>
          <t>Risk-free rate</t>
        </is>
      </c>
      <c r="B37" s="7" t="n">
        <v>0.052</v>
      </c>
      <c r="C37" s="2" t="inlineStr">
        <is>
          <t>US 10-year Treasury yield, about 5.2% at 13 Oct 2026 close. Update when re-valuing</t>
        </is>
      </c>
    </row>
    <row r="38">
      <c r="A38" s="4" t="inlineStr">
        <is>
          <t>Equity risk premium</t>
        </is>
      </c>
      <c r="B38" s="7" t="n">
        <v>0.045</v>
      </c>
      <c r="C38" s="2" t="inlineStr">
        <is>
          <t>Damodaran implied ERP is typically 4% to 5%; update if desired</t>
        </is>
      </c>
    </row>
    <row r="39">
      <c r="A39" s="4" t="inlineStr">
        <is>
          <t>Levered beta</t>
        </is>
      </c>
      <c r="B39" s="9" t="n">
        <v>1.25</v>
      </c>
      <c r="C39" s="2" t="inlineStr">
        <is>
          <t>Top of Rubrik's published range (1.12 to 1.24, Oct 2026); Commvault 0.82. Under three years of trading history, so treated as a judgement</t>
        </is>
      </c>
    </row>
    <row r="40">
      <c r="A40" s="4" t="inlineStr">
        <is>
          <t>Cost of equity (CAPM)</t>
        </is>
      </c>
      <c r="B40" s="13">
        <f>B37+B39*B38</f>
        <v/>
      </c>
      <c r="C40" s="2" t="inlineStr">
        <is>
          <t>Risk-free + beta x equity risk premium</t>
        </is>
      </c>
    </row>
    <row r="41">
      <c r="A41" s="4" t="inlineStr">
        <is>
          <t>Pre-tax cost of debt</t>
        </is>
      </c>
      <c r="B41" s="11" t="n">
        <v>0.05</v>
      </c>
      <c r="C41" s="2" t="inlineStr">
        <is>
          <t>0% coupon understates the economic cost because of the conversion option</t>
        </is>
      </c>
    </row>
    <row r="42">
      <c r="A42" s="4" t="inlineStr">
        <is>
          <t>Tax rate applied to debt</t>
        </is>
      </c>
      <c r="B42" s="11" t="n">
        <v>0</v>
      </c>
      <c r="C42" s="2" t="inlineStr">
        <is>
          <t>No cash tax shield while NOLs are being used</t>
        </is>
      </c>
    </row>
    <row r="43">
      <c r="A43" s="4" t="inlineStr">
        <is>
          <t>Share price ($), for weights and comparison</t>
        </is>
      </c>
      <c r="B43" s="9" t="n">
        <v>118.47</v>
      </c>
      <c r="C43" s="2" t="inlineStr">
        <is>
          <t>RBRK close, 13 Oct 2026. Update when re-valuing</t>
        </is>
      </c>
    </row>
    <row r="44">
      <c r="A44" s="4" t="inlineStr">
        <is>
          <t>Basic shares outstanding (m)</t>
        </is>
      </c>
      <c r="B44" s="5" t="n">
        <v>202.242</v>
      </c>
      <c r="C44" s="2" t="inlineStr">
        <is>
          <t>Class A 157.37m + Class B 44.87m, 31 Jan 2026</t>
        </is>
      </c>
    </row>
    <row r="45">
      <c r="A45" s="4" t="inlineStr">
        <is>
          <t>Market value of equity</t>
        </is>
      </c>
      <c r="B45" s="14">
        <f>B43*B44</f>
        <v/>
      </c>
    </row>
    <row r="46">
      <c r="A46" s="4" t="inlineStr">
        <is>
          <t>Debt at face</t>
        </is>
      </c>
      <c r="B46" s="14">
        <f>B19</f>
        <v/>
      </c>
    </row>
    <row r="47">
      <c r="A47" s="4" t="inlineStr">
        <is>
          <t>WACC</t>
        </is>
      </c>
      <c r="B47" s="13">
        <f>B45/(B45+B46)*B40+B46/(B45+B46)*B41*(1-B42)</f>
        <v/>
      </c>
      <c r="C47" s="2" t="inlineStr">
        <is>
          <t>Market-value weights</t>
        </is>
      </c>
    </row>
    <row r="48">
      <c r="A48" s="4" t="inlineStr">
        <is>
          <t>Terminal (perpetuity) growth</t>
        </is>
      </c>
      <c r="B48" s="7" t="n">
        <v>0.04</v>
      </c>
      <c r="C48" s="2" t="inlineStr">
        <is>
          <t>Must sit below WACC; long-run nominal growth</t>
        </is>
      </c>
    </row>
    <row r="49">
      <c r="A49" s="4" t="inlineStr">
        <is>
          <t>Steady-state UFCF margin at end of fade</t>
        </is>
      </c>
      <c r="B49" s="7" t="n">
        <v>0.18</v>
      </c>
      <c r="C49" s="2" t="inlineStr">
        <is>
          <t>Judgement. SBC treated as a cost, so this is after SBC</t>
        </is>
      </c>
    </row>
    <row r="50">
      <c r="A50" s="4" t="inlineStr">
        <is>
          <t>Diluted shares excluding convertible (m)</t>
        </is>
      </c>
      <c r="B50" s="5" t="n">
        <v>214.4</v>
      </c>
      <c r="C50" s="2" t="inlineStr">
        <is>
          <t>Q4 FY2026 non-GAAP diluted 223.6m less 9.2m from the notes</t>
        </is>
      </c>
    </row>
    <row r="51">
      <c r="A51" s="4" t="inlineStr">
        <is>
          <t>Years from valuation date to today</t>
        </is>
      </c>
      <c r="B51" s="9" t="n">
        <v>0.7</v>
      </c>
      <c r="C51" s="2" t="inlineStr">
        <is>
          <t>31 Jan 2026 to 13 Oct 2026 (255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Rubrik (RBRK): integrated three-statement model</t>
        </is>
      </c>
    </row>
    <row r="2">
      <c r="A2" s="2" t="inlineStr">
        <is>
          <t>$ millions. Fiscal year ends 31 January. A = reported (SEC filings), E = projected.</t>
        </is>
      </c>
    </row>
    <row r="3">
      <c r="B3" s="15" t="inlineStr">
        <is>
          <t>FY2024A</t>
        </is>
      </c>
      <c r="C3" s="15" t="inlineStr">
        <is>
          <t>FY2025A</t>
        </is>
      </c>
      <c r="D3" s="15" t="inlineStr">
        <is>
          <t>FY2026A</t>
        </is>
      </c>
      <c r="E3" s="15" t="inlineStr">
        <is>
          <t>FY2027E</t>
        </is>
      </c>
      <c r="F3" s="15" t="inlineStr">
        <is>
          <t>FY2028E</t>
        </is>
      </c>
      <c r="G3" s="15" t="inlineStr">
        <is>
          <t>FY2029E</t>
        </is>
      </c>
      <c r="H3" s="15" t="inlineStr">
        <is>
          <t>FY2030E</t>
        </is>
      </c>
      <c r="I3" s="15" t="inlineStr">
        <is>
          <t>FY2031E</t>
        </is>
      </c>
    </row>
    <row r="5">
      <c r="A5" s="3" t="inlineStr">
        <is>
          <t>REVENUE BUILD</t>
        </is>
      </c>
    </row>
    <row r="6">
      <c r="A6" s="4" t="inlineStr">
        <is>
          <t>Exit subscription ARR</t>
        </is>
      </c>
      <c r="B6" s="5" t="n">
        <v>784.029</v>
      </c>
      <c r="C6" s="5" t="n">
        <v>1092.584</v>
      </c>
      <c r="D6" s="16">
        <f>Assumptions!B5</f>
        <v/>
      </c>
      <c r="E6" s="16">
        <f>Assumptions!B6</f>
        <v/>
      </c>
      <c r="F6" s="14">
        <f>E6*(1+F7)</f>
        <v/>
      </c>
      <c r="G6" s="14">
        <f>F6*(1+G7)</f>
        <v/>
      </c>
      <c r="H6" s="14">
        <f>G6*(1+H7)</f>
        <v/>
      </c>
      <c r="I6" s="14">
        <f>H6*(1+I7)</f>
        <v/>
      </c>
    </row>
    <row r="7">
      <c r="A7" s="4" t="inlineStr">
        <is>
          <t>Subscription ARR growth</t>
        </is>
      </c>
      <c r="C7" s="13">
        <f>C6/B6-1</f>
        <v/>
      </c>
      <c r="D7" s="13">
        <f>D6/C6-1</f>
        <v/>
      </c>
      <c r="E7" s="13">
        <f>E6/D6-1</f>
        <v/>
      </c>
      <c r="F7" s="13">
        <f>Assumptions!$B$8+($E$7-Assumptions!$B$8)*Assumptions!$B$9^F8</f>
        <v/>
      </c>
      <c r="G7" s="13">
        <f>Assumptions!$B$8+($E$7-Assumptions!$B$8)*Assumptions!$B$9^G8</f>
        <v/>
      </c>
      <c r="H7" s="13">
        <f>Assumptions!$B$8+($E$7-Assumptions!$B$8)*Assumptions!$B$9^H8</f>
        <v/>
      </c>
      <c r="I7" s="13">
        <f>Assumptions!$B$8+($E$7-Assumptions!$B$8)*Assumptions!$B$9^I8</f>
        <v/>
      </c>
    </row>
    <row r="8">
      <c r="A8" s="4" t="inlineStr">
        <is>
          <t>Decay step (years after FY2027)</t>
        </is>
      </c>
      <c r="E8" s="10" t="n">
        <v>0</v>
      </c>
      <c r="F8" s="10" t="n">
        <v>1</v>
      </c>
      <c r="G8" s="10" t="n">
        <v>2</v>
      </c>
      <c r="H8" s="10" t="n">
        <v>3</v>
      </c>
      <c r="I8" s="10" t="n">
        <v>4</v>
      </c>
    </row>
    <row r="9">
      <c r="A9" s="4" t="inlineStr">
        <is>
          <t>Average subscription ARR (opening + closing) / 2</t>
        </is>
      </c>
      <c r="E9" s="14">
        <f>(D6+E6)/2</f>
        <v/>
      </c>
      <c r="F9" s="14">
        <f>(E6+F6)/2</f>
        <v/>
      </c>
      <c r="G9" s="14">
        <f>(F6+G6)/2</f>
        <v/>
      </c>
      <c r="H9" s="14">
        <f>(G6+H6)/2</f>
        <v/>
      </c>
      <c r="I9" s="14">
        <f>(H6+I6)/2</f>
        <v/>
      </c>
    </row>
    <row r="10">
      <c r="A10" s="4" t="inlineStr">
        <is>
          <t>Revenue / average ARR</t>
        </is>
      </c>
      <c r="E10" s="17">
        <f>E12/E9</f>
        <v/>
      </c>
      <c r="F10" s="18">
        <f>Assumptions!$B$10</f>
        <v/>
      </c>
      <c r="G10" s="18">
        <f>Assumptions!$B$10</f>
        <v/>
      </c>
      <c r="H10" s="18">
        <f>Assumptions!$B$10</f>
        <v/>
      </c>
      <c r="I10" s="18">
        <f>Assumptions!$B$10</f>
        <v/>
      </c>
    </row>
    <row r="11">
      <c r="A11" s="3" t="inlineStr">
        <is>
          <t>INCOME STATEMENT</t>
        </is>
      </c>
    </row>
    <row r="12">
      <c r="A12" s="3" t="inlineStr">
        <is>
          <t>Revenue</t>
        </is>
      </c>
      <c r="B12" s="19" t="n">
        <v>627.8920000000001</v>
      </c>
      <c r="C12" s="19" t="n">
        <v>886.544</v>
      </c>
      <c r="D12" s="19" t="n">
        <v>1316.191</v>
      </c>
      <c r="E12" s="20">
        <f>Assumptions!B7</f>
        <v/>
      </c>
      <c r="F12" s="21">
        <f>F9*F10</f>
        <v/>
      </c>
      <c r="G12" s="21">
        <f>G9*G10</f>
        <v/>
      </c>
      <c r="H12" s="21">
        <f>H9*H10</f>
        <v/>
      </c>
      <c r="I12" s="21">
        <f>I9*I10</f>
        <v/>
      </c>
    </row>
    <row r="13">
      <c r="A13" s="4" t="inlineStr">
        <is>
          <t xml:space="preserve">  Revenue growth</t>
        </is>
      </c>
      <c r="C13" s="13">
        <f>C12/B12-1</f>
        <v/>
      </c>
      <c r="D13" s="13">
        <f>D12/C12-1</f>
        <v/>
      </c>
      <c r="E13" s="13">
        <f>E12/D12-1</f>
        <v/>
      </c>
      <c r="F13" s="13">
        <f>F12/E12-1</f>
        <v/>
      </c>
      <c r="G13" s="13">
        <f>G12/F12-1</f>
        <v/>
      </c>
      <c r="H13" s="13">
        <f>H12/G12-1</f>
        <v/>
      </c>
      <c r="I13" s="13">
        <f>I12/H12-1</f>
        <v/>
      </c>
    </row>
    <row r="14">
      <c r="A14" s="4" t="inlineStr">
        <is>
          <t>Cost of revenue</t>
        </is>
      </c>
      <c r="B14" s="5" t="n">
        <v>144.962</v>
      </c>
      <c r="C14" s="5" t="n">
        <v>265.748</v>
      </c>
      <c r="D14" s="5" t="n">
        <v>261.877</v>
      </c>
      <c r="E14" s="14">
        <f>E12*Assumptions!E23</f>
        <v/>
      </c>
      <c r="F14" s="14">
        <f>F12*Assumptions!F23</f>
        <v/>
      </c>
      <c r="G14" s="14">
        <f>G12*Assumptions!G23</f>
        <v/>
      </c>
      <c r="H14" s="14">
        <f>H12*Assumptions!H23</f>
        <v/>
      </c>
      <c r="I14" s="14">
        <f>I12*Assumptions!I23</f>
        <v/>
      </c>
    </row>
    <row r="15">
      <c r="A15" s="3" t="inlineStr">
        <is>
          <t>Gross profit</t>
        </is>
      </c>
      <c r="B15" s="14">
        <f>B12-B14</f>
        <v/>
      </c>
      <c r="C15" s="14">
        <f>C12-C14</f>
        <v/>
      </c>
      <c r="D15" s="14">
        <f>D12-D14</f>
        <v/>
      </c>
      <c r="E15" s="14">
        <f>E12-E14</f>
        <v/>
      </c>
      <c r="F15" s="14">
        <f>F12-F14</f>
        <v/>
      </c>
      <c r="G15" s="14">
        <f>G12-G14</f>
        <v/>
      </c>
      <c r="H15" s="14">
        <f>H12-H14</f>
        <v/>
      </c>
      <c r="I15" s="14">
        <f>I12-I14</f>
        <v/>
      </c>
    </row>
    <row r="16">
      <c r="A16" s="4" t="inlineStr">
        <is>
          <t xml:space="preserve">  Gross margin</t>
        </is>
      </c>
      <c r="B16" s="13">
        <f>B15/B12</f>
        <v/>
      </c>
      <c r="C16" s="13">
        <f>C15/C12</f>
        <v/>
      </c>
      <c r="D16" s="13">
        <f>D15/D12</f>
        <v/>
      </c>
      <c r="E16" s="13">
        <f>E15/E12</f>
        <v/>
      </c>
      <c r="F16" s="13">
        <f>F15/F12</f>
        <v/>
      </c>
      <c r="G16" s="13">
        <f>G15/G12</f>
        <v/>
      </c>
      <c r="H16" s="13">
        <f>H15/H12</f>
        <v/>
      </c>
      <c r="I16" s="13">
        <f>I15/I12</f>
        <v/>
      </c>
    </row>
    <row r="17">
      <c r="A17" s="4" t="inlineStr">
        <is>
          <t>Research and development</t>
        </is>
      </c>
      <c r="B17" s="5" t="n">
        <v>206.527</v>
      </c>
      <c r="C17" s="5" t="n">
        <v>531.615</v>
      </c>
      <c r="D17" s="5" t="n">
        <v>373.682</v>
      </c>
      <c r="E17" s="14">
        <f>E12*Assumptions!E24</f>
        <v/>
      </c>
      <c r="F17" s="14">
        <f>F12*Assumptions!F24</f>
        <v/>
      </c>
      <c r="G17" s="14">
        <f>G12*Assumptions!G24</f>
        <v/>
      </c>
      <c r="H17" s="14">
        <f>H12*Assumptions!H24</f>
        <v/>
      </c>
      <c r="I17" s="14">
        <f>I12*Assumptions!I24</f>
        <v/>
      </c>
    </row>
    <row r="18">
      <c r="A18" s="4" t="inlineStr">
        <is>
          <t>Sales and marketing</t>
        </is>
      </c>
      <c r="B18" s="5" t="n">
        <v>482.532</v>
      </c>
      <c r="C18" s="5" t="n">
        <v>867.518</v>
      </c>
      <c r="D18" s="5" t="n">
        <v>769.019</v>
      </c>
      <c r="E18" s="14">
        <f>E12*Assumptions!E25</f>
        <v/>
      </c>
      <c r="F18" s="14">
        <f>F12*Assumptions!F25</f>
        <v/>
      </c>
      <c r="G18" s="14">
        <f>G12*Assumptions!G25</f>
        <v/>
      </c>
      <c r="H18" s="14">
        <f>H12*Assumptions!H25</f>
        <v/>
      </c>
      <c r="I18" s="14">
        <f>I12*Assumptions!I25</f>
        <v/>
      </c>
    </row>
    <row r="19">
      <c r="A19" s="4" t="inlineStr">
        <is>
          <t>General and administrative</t>
        </is>
      </c>
      <c r="B19" s="5" t="n">
        <v>100.377</v>
      </c>
      <c r="C19" s="5" t="n">
        <v>355.695</v>
      </c>
      <c r="D19" s="5" t="n">
        <v>257.029</v>
      </c>
      <c r="E19" s="14">
        <f>E12*Assumptions!E26</f>
        <v/>
      </c>
      <c r="F19" s="14">
        <f>F12*Assumptions!F26</f>
        <v/>
      </c>
      <c r="G19" s="14">
        <f>G12*Assumptions!G26</f>
        <v/>
      </c>
      <c r="H19" s="14">
        <f>H12*Assumptions!H26</f>
        <v/>
      </c>
      <c r="I19" s="14">
        <f>I12*Assumptions!I26</f>
        <v/>
      </c>
    </row>
    <row r="20">
      <c r="A20" s="4" t="inlineStr">
        <is>
          <t>Total operating expenses</t>
        </is>
      </c>
      <c r="B20" s="14">
        <f>SUM(B17:B19)</f>
        <v/>
      </c>
      <c r="C20" s="14">
        <f>SUM(C17:C19)</f>
        <v/>
      </c>
      <c r="D20" s="14">
        <f>SUM(D17:D19)</f>
        <v/>
      </c>
      <c r="E20" s="14">
        <f>SUM(E17:E19)</f>
        <v/>
      </c>
      <c r="F20" s="14">
        <f>SUM(F17:F19)</f>
        <v/>
      </c>
      <c r="G20" s="14">
        <f>SUM(G17:G19)</f>
        <v/>
      </c>
      <c r="H20" s="14">
        <f>SUM(H17:H19)</f>
        <v/>
      </c>
      <c r="I20" s="14">
        <f>SUM(I17:I19)</f>
        <v/>
      </c>
    </row>
    <row r="21">
      <c r="A21" s="3" t="inlineStr">
        <is>
          <t>Operating income (EBIT)</t>
        </is>
      </c>
      <c r="B21" s="21">
        <f>B15-B20</f>
        <v/>
      </c>
      <c r="C21" s="21">
        <f>C15-C20</f>
        <v/>
      </c>
      <c r="D21" s="21">
        <f>D15-D20</f>
        <v/>
      </c>
      <c r="E21" s="21">
        <f>E15-E20</f>
        <v/>
      </c>
      <c r="F21" s="21">
        <f>F15-F20</f>
        <v/>
      </c>
      <c r="G21" s="21">
        <f>G15-G20</f>
        <v/>
      </c>
      <c r="H21" s="21">
        <f>H15-H20</f>
        <v/>
      </c>
      <c r="I21" s="21">
        <f>I15-I20</f>
        <v/>
      </c>
    </row>
    <row r="22">
      <c r="A22" s="4" t="inlineStr">
        <is>
          <t xml:space="preserve">  Operating margin</t>
        </is>
      </c>
      <c r="B22" s="13">
        <f>B21/B12</f>
        <v/>
      </c>
      <c r="C22" s="13">
        <f>C21/C12</f>
        <v/>
      </c>
      <c r="D22" s="13">
        <f>D21/D12</f>
        <v/>
      </c>
      <c r="E22" s="13">
        <f>E21/E12</f>
        <v/>
      </c>
      <c r="F22" s="13">
        <f>F21/F12</f>
        <v/>
      </c>
      <c r="G22" s="13">
        <f>G21/G12</f>
        <v/>
      </c>
      <c r="H22" s="13">
        <f>H21/H12</f>
        <v/>
      </c>
      <c r="I22" s="13">
        <f>I21/I12</f>
        <v/>
      </c>
    </row>
    <row r="23">
      <c r="A23" s="4" t="inlineStr">
        <is>
          <t>Interest income</t>
        </is>
      </c>
      <c r="B23" s="5" t="n">
        <v>11.216</v>
      </c>
      <c r="C23" s="5" t="n">
        <v>25.353</v>
      </c>
      <c r="D23" s="5" t="n">
        <v>52.157</v>
      </c>
      <c r="E23" s="14">
        <f>(D34+D35)*Assumptions!$B$18</f>
        <v/>
      </c>
      <c r="F23" s="14">
        <f>(E34+E35)*Assumptions!$B$18</f>
        <v/>
      </c>
      <c r="G23" s="14">
        <f>(F34+F35)*Assumptions!$B$18</f>
        <v/>
      </c>
      <c r="H23" s="14">
        <f>(G34+G35)*Assumptions!$B$18</f>
        <v/>
      </c>
      <c r="I23" s="14">
        <f>(H34+H35)*Assumptions!$B$18</f>
        <v/>
      </c>
    </row>
    <row r="24">
      <c r="A24" s="4" t="inlineStr">
        <is>
          <t>Interest expense</t>
        </is>
      </c>
      <c r="B24" s="5" t="n">
        <v>-30.295</v>
      </c>
      <c r="C24" s="5" t="n">
        <v>-41.253</v>
      </c>
      <c r="D24" s="5" t="n">
        <v>-17.227</v>
      </c>
      <c r="E24" s="14">
        <f>-(E52-D52)</f>
        <v/>
      </c>
      <c r="F24" s="14">
        <f>-(F52-E52)</f>
        <v/>
      </c>
      <c r="G24" s="14">
        <f>-(G52-F52)</f>
        <v/>
      </c>
      <c r="H24" s="14">
        <f>-(H52-G52)</f>
        <v/>
      </c>
      <c r="I24" s="14">
        <f>-(I52-H52)</f>
        <v/>
      </c>
    </row>
    <row r="25">
      <c r="A25" s="4" t="inlineStr">
        <is>
          <t>Other income / (expense), incl. debt extinguishment</t>
        </is>
      </c>
      <c r="B25" s="5" t="n">
        <v>-1.884</v>
      </c>
      <c r="C25" s="5" t="n">
        <v>1.48</v>
      </c>
      <c r="D25" s="5" t="n">
        <v>-15.987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</row>
    <row r="26">
      <c r="A26" s="4" t="inlineStr">
        <is>
          <t>Pre-tax income</t>
        </is>
      </c>
      <c r="B26" s="14">
        <f>B21+B23+B24+B25</f>
        <v/>
      </c>
      <c r="C26" s="14">
        <f>C21+C23+C24+C25</f>
        <v/>
      </c>
      <c r="D26" s="14">
        <f>D21+D23+D24+D25</f>
        <v/>
      </c>
      <c r="E26" s="14">
        <f>E21+E23+E24+E25</f>
        <v/>
      </c>
      <c r="F26" s="14">
        <f>F21+F23+F24+F25</f>
        <v/>
      </c>
      <c r="G26" s="14">
        <f>G21+G23+G24+G25</f>
        <v/>
      </c>
      <c r="H26" s="14">
        <f>H21+H23+H24+H25</f>
        <v/>
      </c>
      <c r="I26" s="14">
        <f>I21+I23+I24+I25</f>
        <v/>
      </c>
    </row>
    <row r="27">
      <c r="A27" s="4" t="inlineStr">
        <is>
          <t>Income tax expense</t>
        </is>
      </c>
      <c r="B27" s="5" t="n">
        <v>26.689</v>
      </c>
      <c r="C27" s="5" t="n">
        <v>6.368</v>
      </c>
      <c r="D27" s="5" t="n">
        <v>22.355</v>
      </c>
      <c r="E27" s="14">
        <f>E12*Assumptions!E31</f>
        <v/>
      </c>
      <c r="F27" s="14">
        <f>F12*Assumptions!F31</f>
        <v/>
      </c>
      <c r="G27" s="14">
        <f>G12*Assumptions!G31</f>
        <v/>
      </c>
      <c r="H27" s="14">
        <f>H12*Assumptions!H31</f>
        <v/>
      </c>
      <c r="I27" s="14">
        <f>I12*Assumptions!I31</f>
        <v/>
      </c>
    </row>
    <row r="28">
      <c r="A28" s="3" t="inlineStr">
        <is>
          <t>Net income</t>
        </is>
      </c>
      <c r="B28" s="21">
        <f>B26-B27</f>
        <v/>
      </c>
      <c r="C28" s="21">
        <f>C26-C27</f>
        <v/>
      </c>
      <c r="D28" s="21">
        <f>D26-D27</f>
        <v/>
      </c>
      <c r="E28" s="21">
        <f>E26-E27</f>
        <v/>
      </c>
      <c r="F28" s="21">
        <f>F26-F27</f>
        <v/>
      </c>
      <c r="G28" s="21">
        <f>G26-G27</f>
        <v/>
      </c>
      <c r="H28" s="21">
        <f>H26-H27</f>
        <v/>
      </c>
      <c r="I28" s="21">
        <f>I26-I27</f>
        <v/>
      </c>
    </row>
    <row r="29">
      <c r="A29" s="4" t="inlineStr">
        <is>
          <t>Memo: stock-based compensation (inside costs above)</t>
        </is>
      </c>
      <c r="B29" s="5" t="n">
        <v>5.715</v>
      </c>
      <c r="C29" s="5" t="n">
        <v>913.913</v>
      </c>
      <c r="D29" s="5" t="n">
        <v>329.374</v>
      </c>
      <c r="E29" s="14">
        <f>E12*Assumptions!E27</f>
        <v/>
      </c>
      <c r="F29" s="14">
        <f>F12*Assumptions!F27</f>
        <v/>
      </c>
      <c r="G29" s="14">
        <f>G12*Assumptions!G27</f>
        <v/>
      </c>
      <c r="H29" s="14">
        <f>H12*Assumptions!H27</f>
        <v/>
      </c>
      <c r="I29" s="14">
        <f>I12*Assumptions!I27</f>
        <v/>
      </c>
    </row>
    <row r="30">
      <c r="A30" s="4" t="inlineStr">
        <is>
          <t>Memo: depreciation and amortisation</t>
        </is>
      </c>
      <c r="B30" s="5" t="n">
        <v>24.305</v>
      </c>
      <c r="C30" s="5" t="n">
        <v>28.868</v>
      </c>
      <c r="D30" s="5" t="n">
        <v>37.115</v>
      </c>
      <c r="E30" s="14">
        <f>E12*Assumptions!E28+Assumptions!E29</f>
        <v/>
      </c>
      <c r="F30" s="14">
        <f>F12*Assumptions!F28+Assumptions!F29</f>
        <v/>
      </c>
      <c r="G30" s="14">
        <f>G12*Assumptions!G28+Assumptions!G29</f>
        <v/>
      </c>
      <c r="H30" s="14">
        <f>H12*Assumptions!H28+Assumptions!H29</f>
        <v/>
      </c>
      <c r="I30" s="14">
        <f>I12*Assumptions!I28+Assumptions!I29</f>
        <v/>
      </c>
    </row>
    <row r="31">
      <c r="A31" s="4" t="inlineStr">
        <is>
          <t>Memo: EBIT excluding SBC</t>
        </is>
      </c>
      <c r="B31" s="14">
        <f>B21+B29</f>
        <v/>
      </c>
      <c r="C31" s="14">
        <f>C21+C29</f>
        <v/>
      </c>
      <c r="D31" s="14">
        <f>D21+D29</f>
        <v/>
      </c>
      <c r="E31" s="14">
        <f>E21+E29</f>
        <v/>
      </c>
      <c r="F31" s="14">
        <f>F21+F29</f>
        <v/>
      </c>
      <c r="G31" s="14">
        <f>G21+G29</f>
        <v/>
      </c>
      <c r="H31" s="14">
        <f>H21+H29</f>
        <v/>
      </c>
      <c r="I31" s="14">
        <f>I21+I29</f>
        <v/>
      </c>
    </row>
    <row r="33">
      <c r="A33" s="3" t="inlineStr">
        <is>
          <t>BALANCE SHEET</t>
        </is>
      </c>
    </row>
    <row r="34">
      <c r="A34" s="4" t="inlineStr">
        <is>
          <t>Cash and cash equivalents</t>
        </is>
      </c>
      <c r="C34" s="5" t="n">
        <v>186.331</v>
      </c>
      <c r="D34" s="5" t="n">
        <v>380.196</v>
      </c>
      <c r="E34" s="14">
        <f>E87</f>
        <v/>
      </c>
      <c r="F34" s="14">
        <f>F87</f>
        <v/>
      </c>
      <c r="G34" s="14">
        <f>G87</f>
        <v/>
      </c>
      <c r="H34" s="14">
        <f>H87</f>
        <v/>
      </c>
      <c r="I34" s="14">
        <f>I87</f>
        <v/>
      </c>
    </row>
    <row r="35">
      <c r="A35" s="4" t="inlineStr">
        <is>
          <t>Short-term investments</t>
        </is>
      </c>
      <c r="C35" s="5" t="n">
        <v>518.813</v>
      </c>
      <c r="D35" s="5" t="n">
        <v>1295.579</v>
      </c>
      <c r="E35" s="14">
        <f>D35</f>
        <v/>
      </c>
      <c r="F35" s="14">
        <f>E35</f>
        <v/>
      </c>
      <c r="G35" s="14">
        <f>F35</f>
        <v/>
      </c>
      <c r="H35" s="14">
        <f>G35</f>
        <v/>
      </c>
      <c r="I35" s="14">
        <f>H35</f>
        <v/>
      </c>
    </row>
    <row r="36">
      <c r="A36" s="4" t="inlineStr">
        <is>
          <t>Accounts receivable</t>
        </is>
      </c>
      <c r="C36" s="5" t="n">
        <v>177.627</v>
      </c>
      <c r="D36" s="5" t="n">
        <v>256.773</v>
      </c>
      <c r="E36" s="14">
        <f>E12*Assumptions!$B$11/365</f>
        <v/>
      </c>
      <c r="F36" s="14">
        <f>F12*Assumptions!$B$11/365</f>
        <v/>
      </c>
      <c r="G36" s="14">
        <f>G12*Assumptions!$B$11/365</f>
        <v/>
      </c>
      <c r="H36" s="14">
        <f>H12*Assumptions!$B$11/365</f>
        <v/>
      </c>
      <c r="I36" s="14">
        <f>I12*Assumptions!$B$11/365</f>
        <v/>
      </c>
    </row>
    <row r="37">
      <c r="A37" s="4" t="inlineStr">
        <is>
          <t>Deferred commissions, current</t>
        </is>
      </c>
      <c r="C37" s="5" t="n">
        <v>91.919</v>
      </c>
      <c r="D37" s="5" t="n">
        <v>110.651</v>
      </c>
      <c r="E37" s="14">
        <f>E12*Assumptions!$B$12</f>
        <v/>
      </c>
      <c r="F37" s="14">
        <f>F12*Assumptions!$B$12</f>
        <v/>
      </c>
      <c r="G37" s="14">
        <f>G12*Assumptions!$B$12</f>
        <v/>
      </c>
      <c r="H37" s="14">
        <f>H12*Assumptions!$B$12</f>
        <v/>
      </c>
      <c r="I37" s="14">
        <f>I12*Assumptions!$B$12</f>
        <v/>
      </c>
    </row>
    <row r="38">
      <c r="A38" s="4" t="inlineStr">
        <is>
          <t>Prepaid and other current assets</t>
        </is>
      </c>
      <c r="C38" s="5" t="n">
        <v>102.951</v>
      </c>
      <c r="D38" s="5" t="n">
        <v>180.365</v>
      </c>
      <c r="E38" s="14">
        <f>E12*Assumptions!$B$14</f>
        <v/>
      </c>
      <c r="F38" s="14">
        <f>F12*Assumptions!$B$14</f>
        <v/>
      </c>
      <c r="G38" s="14">
        <f>G12*Assumptions!$B$14</f>
        <v/>
      </c>
      <c r="H38" s="14">
        <f>H12*Assumptions!$B$14</f>
        <v/>
      </c>
      <c r="I38" s="14">
        <f>I12*Assumptions!$B$14</f>
        <v/>
      </c>
    </row>
    <row r="39">
      <c r="A39" s="3" t="inlineStr">
        <is>
          <t>Total current assets</t>
        </is>
      </c>
      <c r="B39" s="22" t="n"/>
      <c r="C39" s="21">
        <f>SUM(C34:C38)</f>
        <v/>
      </c>
      <c r="D39" s="21">
        <f>SUM(D34:D38)</f>
        <v/>
      </c>
      <c r="E39" s="21">
        <f>SUM(E34:E38)</f>
        <v/>
      </c>
      <c r="F39" s="21">
        <f>SUM(F34:F38)</f>
        <v/>
      </c>
      <c r="G39" s="21">
        <f>SUM(G34:G38)</f>
        <v/>
      </c>
      <c r="H39" s="21">
        <f>SUM(H34:H38)</f>
        <v/>
      </c>
      <c r="I39" s="21">
        <f>SUM(I34:I38)</f>
        <v/>
      </c>
    </row>
    <row r="40">
      <c r="A40" s="4" t="inlineStr">
        <is>
          <t>Property and equipment, net</t>
        </is>
      </c>
      <c r="C40" s="5" t="n">
        <v>53.194</v>
      </c>
      <c r="D40" s="5" t="n">
        <v>83.83</v>
      </c>
      <c r="E40" s="14">
        <f>D40-E78-E12*Assumptions!E28</f>
        <v/>
      </c>
      <c r="F40" s="14">
        <f>E40-F78-F12*Assumptions!F28</f>
        <v/>
      </c>
      <c r="G40" s="14">
        <f>F40-G78-G12*Assumptions!G28</f>
        <v/>
      </c>
      <c r="H40" s="14">
        <f>G40-H78-H12*Assumptions!H28</f>
        <v/>
      </c>
      <c r="I40" s="14">
        <f>H40-I78-I12*Assumptions!I28</f>
        <v/>
      </c>
    </row>
    <row r="41">
      <c r="A41" s="4" t="inlineStr">
        <is>
          <t>Deferred commissions, noncurrent</t>
        </is>
      </c>
      <c r="C41" s="5" t="n">
        <v>132.465</v>
      </c>
      <c r="D41" s="5" t="n">
        <v>157.592</v>
      </c>
      <c r="E41" s="14">
        <f>E12*Assumptions!$B$13</f>
        <v/>
      </c>
      <c r="F41" s="14">
        <f>F12*Assumptions!$B$13</f>
        <v/>
      </c>
      <c r="G41" s="14">
        <f>G12*Assumptions!$B$13</f>
        <v/>
      </c>
      <c r="H41" s="14">
        <f>H12*Assumptions!$B$13</f>
        <v/>
      </c>
      <c r="I41" s="14">
        <f>I12*Assumptions!$B$13</f>
        <v/>
      </c>
    </row>
    <row r="42">
      <c r="A42" s="4" t="inlineStr">
        <is>
          <t>Goodwill</t>
        </is>
      </c>
      <c r="C42" s="5" t="n">
        <v>100.343</v>
      </c>
      <c r="D42" s="5" t="n">
        <v>199.606</v>
      </c>
      <c r="E42" s="14">
        <f>D42+Assumptions!E33</f>
        <v/>
      </c>
      <c r="F42" s="14">
        <f>E42+Assumptions!F33</f>
        <v/>
      </c>
      <c r="G42" s="14">
        <f>F42+Assumptions!G33</f>
        <v/>
      </c>
      <c r="H42" s="14">
        <f>G42+Assumptions!H33</f>
        <v/>
      </c>
      <c r="I42" s="14">
        <f>H42+Assumptions!I33</f>
        <v/>
      </c>
    </row>
    <row r="43">
      <c r="A43" s="4" t="inlineStr">
        <is>
          <t>Other assets, noncurrent (incl. intangibles)</t>
        </is>
      </c>
      <c r="C43" s="5" t="n">
        <v>59.331</v>
      </c>
      <c r="D43" s="5" t="n">
        <v>101.944</v>
      </c>
      <c r="E43" s="14">
        <f>D43-Assumptions!E29</f>
        <v/>
      </c>
      <c r="F43" s="14">
        <f>E43-Assumptions!F29</f>
        <v/>
      </c>
      <c r="G43" s="14">
        <f>F43-Assumptions!G29</f>
        <v/>
      </c>
      <c r="H43" s="14">
        <f>G43-Assumptions!H29</f>
        <v/>
      </c>
      <c r="I43" s="14">
        <f>H43-Assumptions!I29</f>
        <v/>
      </c>
    </row>
    <row r="44">
      <c r="A44" s="3" t="inlineStr">
        <is>
          <t>Total assets</t>
        </is>
      </c>
      <c r="B44" s="22" t="n"/>
      <c r="C44" s="21">
        <f>C39+SUM(C40:C43)</f>
        <v/>
      </c>
      <c r="D44" s="21">
        <f>D39+SUM(D40:D43)</f>
        <v/>
      </c>
      <c r="E44" s="21">
        <f>E39+SUM(E40:E43)</f>
        <v/>
      </c>
      <c r="F44" s="21">
        <f>F39+SUM(F40:F43)</f>
        <v/>
      </c>
      <c r="G44" s="21">
        <f>G39+SUM(G40:G43)</f>
        <v/>
      </c>
      <c r="H44" s="21">
        <f>H39+SUM(H40:H43)</f>
        <v/>
      </c>
      <c r="I44" s="21">
        <f>I39+SUM(I40:I43)</f>
        <v/>
      </c>
    </row>
    <row r="46">
      <c r="A46" s="4" t="inlineStr">
        <is>
          <t>Accounts payable</t>
        </is>
      </c>
      <c r="C46" s="5" t="n">
        <v>10.439</v>
      </c>
      <c r="D46" s="5" t="n">
        <v>15.329</v>
      </c>
      <c r="E46" s="14">
        <f>E12*Assumptions!$B$15</f>
        <v/>
      </c>
      <c r="F46" s="14">
        <f>F12*Assumptions!$B$15</f>
        <v/>
      </c>
      <c r="G46" s="14">
        <f>G12*Assumptions!$B$15</f>
        <v/>
      </c>
      <c r="H46" s="14">
        <f>H12*Assumptions!$B$15</f>
        <v/>
      </c>
      <c r="I46" s="14">
        <f>I12*Assumptions!$B$15</f>
        <v/>
      </c>
    </row>
    <row r="47">
      <c r="A47" s="4" t="inlineStr">
        <is>
          <t>Accrued expenses and other current liabilities</t>
        </is>
      </c>
      <c r="C47" s="5" t="n">
        <v>162.602</v>
      </c>
      <c r="D47" s="5" t="n">
        <v>229.976</v>
      </c>
      <c r="E47" s="14">
        <f>E12*Assumptions!$B$16</f>
        <v/>
      </c>
      <c r="F47" s="14">
        <f>F12*Assumptions!$B$16</f>
        <v/>
      </c>
      <c r="G47" s="14">
        <f>G12*Assumptions!$B$16</f>
        <v/>
      </c>
      <c r="H47" s="14">
        <f>H12*Assumptions!$B$16</f>
        <v/>
      </c>
      <c r="I47" s="14">
        <f>I12*Assumptions!$B$16</f>
        <v/>
      </c>
    </row>
    <row r="48">
      <c r="A48" s="4" t="inlineStr">
        <is>
          <t>Deferred revenue, current</t>
        </is>
      </c>
      <c r="C48" s="5" t="n">
        <v>777.135</v>
      </c>
      <c r="D48" s="5" t="n">
        <v>1068.754</v>
      </c>
      <c r="E48" s="14">
        <f>E12*Assumptions!E32*Assumptions!$B$17</f>
        <v/>
      </c>
      <c r="F48" s="14">
        <f>F12*Assumptions!F32*Assumptions!$B$17</f>
        <v/>
      </c>
      <c r="G48" s="14">
        <f>G12*Assumptions!G32*Assumptions!$B$17</f>
        <v/>
      </c>
      <c r="H48" s="14">
        <f>H12*Assumptions!H32*Assumptions!$B$17</f>
        <v/>
      </c>
      <c r="I48" s="14">
        <f>I12*Assumptions!I32*Assumptions!$B$17</f>
        <v/>
      </c>
    </row>
    <row r="49">
      <c r="A49" s="3" t="inlineStr">
        <is>
          <t>Total current liabilities</t>
        </is>
      </c>
      <c r="B49" s="22" t="n"/>
      <c r="C49" s="21">
        <f>SUM(C46:C48)</f>
        <v/>
      </c>
      <c r="D49" s="21">
        <f>SUM(D46:D48)</f>
        <v/>
      </c>
      <c r="E49" s="21">
        <f>SUM(E46:E48)</f>
        <v/>
      </c>
      <c r="F49" s="21">
        <f>SUM(F46:F48)</f>
        <v/>
      </c>
      <c r="G49" s="21">
        <f>SUM(G46:G48)</f>
        <v/>
      </c>
      <c r="H49" s="21">
        <f>SUM(H46:H48)</f>
        <v/>
      </c>
      <c r="I49" s="21">
        <f>SUM(I46:I48)</f>
        <v/>
      </c>
    </row>
    <row r="50">
      <c r="A50" s="4" t="inlineStr">
        <is>
          <t>Deferred revenue, noncurrent</t>
        </is>
      </c>
      <c r="C50" s="5" t="n">
        <v>642.37</v>
      </c>
      <c r="D50" s="5" t="n">
        <v>776.547</v>
      </c>
      <c r="E50" s="14">
        <f>E12*Assumptions!E32*(1-Assumptions!$B$17)</f>
        <v/>
      </c>
      <c r="F50" s="14">
        <f>F12*Assumptions!F32*(1-Assumptions!$B$17)</f>
        <v/>
      </c>
      <c r="G50" s="14">
        <f>G12*Assumptions!G32*(1-Assumptions!$B$17)</f>
        <v/>
      </c>
      <c r="H50" s="14">
        <f>H12*Assumptions!H32*(1-Assumptions!$B$17)</f>
        <v/>
      </c>
      <c r="I50" s="14">
        <f>I12*Assumptions!I32*(1-Assumptions!$B$17)</f>
        <v/>
      </c>
    </row>
    <row r="51">
      <c r="A51" s="4" t="inlineStr">
        <is>
          <t>Other liabilities, noncurrent</t>
        </is>
      </c>
      <c r="C51" s="5" t="n">
        <v>61.821</v>
      </c>
      <c r="D51" s="5" t="n">
        <v>64.771</v>
      </c>
      <c r="E51" s="14">
        <f>D51</f>
        <v/>
      </c>
      <c r="F51" s="14">
        <f>E51</f>
        <v/>
      </c>
      <c r="G51" s="14">
        <f>F51</f>
        <v/>
      </c>
      <c r="H51" s="14">
        <f>G51</f>
        <v/>
      </c>
      <c r="I51" s="14">
        <f>H51</f>
        <v/>
      </c>
    </row>
    <row r="52">
      <c r="A52" s="4" t="inlineStr">
        <is>
          <t>Convertible senior notes, net</t>
        </is>
      </c>
      <c r="C52" s="5" t="n">
        <v>0</v>
      </c>
      <c r="D52" s="5" t="n">
        <v>1130.721</v>
      </c>
      <c r="E52" s="14">
        <f>MIN(D52+Assumptions!$B$20,Assumptions!$B$19)</f>
        <v/>
      </c>
      <c r="F52" s="14">
        <f>MIN(E52+Assumptions!$B$20,Assumptions!$B$19)</f>
        <v/>
      </c>
      <c r="G52" s="14">
        <f>MIN(F52+Assumptions!$B$20,Assumptions!$B$19)</f>
        <v/>
      </c>
      <c r="H52" s="14">
        <f>MIN(G52+Assumptions!$B$20,Assumptions!$B$19)</f>
        <v/>
      </c>
      <c r="I52" s="14">
        <f>MIN(H52+Assumptions!$B$20,Assumptions!$B$19)</f>
        <v/>
      </c>
    </row>
    <row r="53">
      <c r="A53" s="4" t="inlineStr">
        <is>
          <t>Debt, noncurrent (term loan, repaid FY2026)</t>
        </is>
      </c>
      <c r="C53" s="5" t="n">
        <v>322.341</v>
      </c>
      <c r="D53" s="5" t="n">
        <v>0</v>
      </c>
      <c r="E53" s="14">
        <f>D53</f>
        <v/>
      </c>
      <c r="F53" s="14">
        <f>E53</f>
        <v/>
      </c>
      <c r="G53" s="14">
        <f>F53</f>
        <v/>
      </c>
      <c r="H53" s="14">
        <f>G53</f>
        <v/>
      </c>
      <c r="I53" s="14">
        <f>H53</f>
        <v/>
      </c>
    </row>
    <row r="54">
      <c r="A54" s="3" t="inlineStr">
        <is>
          <t>Total liabilities</t>
        </is>
      </c>
      <c r="B54" s="22" t="n"/>
      <c r="C54" s="21">
        <f>C49+SUM(C50:C53)</f>
        <v/>
      </c>
      <c r="D54" s="21">
        <f>D49+SUM(D50:D53)</f>
        <v/>
      </c>
      <c r="E54" s="21">
        <f>E49+SUM(E50:E53)</f>
        <v/>
      </c>
      <c r="F54" s="21">
        <f>F49+SUM(F50:F53)</f>
        <v/>
      </c>
      <c r="G54" s="21">
        <f>G49+SUM(G50:G53)</f>
        <v/>
      </c>
      <c r="H54" s="21">
        <f>H49+SUM(H50:H53)</f>
        <v/>
      </c>
      <c r="I54" s="21">
        <f>I49+SUM(I50:I53)</f>
        <v/>
      </c>
    </row>
    <row r="56">
      <c r="A56" s="4" t="inlineStr">
        <is>
          <t>Common stock, par value</t>
        </is>
      </c>
      <c r="C56" s="5" t="n">
        <v>0.005</v>
      </c>
      <c r="D56" s="5" t="n">
        <v>0.005</v>
      </c>
      <c r="E56" s="14">
        <f>D56</f>
        <v/>
      </c>
      <c r="F56" s="14">
        <f>E56</f>
        <v/>
      </c>
      <c r="G56" s="14">
        <f>F56</f>
        <v/>
      </c>
      <c r="H56" s="14">
        <f>G56</f>
        <v/>
      </c>
      <c r="I56" s="14">
        <f>H56</f>
        <v/>
      </c>
    </row>
    <row r="57">
      <c r="A57" s="4" t="inlineStr">
        <is>
          <t>Additional paid-in capital</t>
        </is>
      </c>
      <c r="C57" s="5" t="n">
        <v>2291.829</v>
      </c>
      <c r="D57" s="5" t="n">
        <v>2662.861</v>
      </c>
      <c r="E57" s="14">
        <f>D57+E29</f>
        <v/>
      </c>
      <c r="F57" s="14">
        <f>E57+F29</f>
        <v/>
      </c>
      <c r="G57" s="14">
        <f>F57+G29</f>
        <v/>
      </c>
      <c r="H57" s="14">
        <f>G57+H29</f>
        <v/>
      </c>
      <c r="I57" s="14">
        <f>H57+I29</f>
        <v/>
      </c>
    </row>
    <row r="58">
      <c r="A58" s="4" t="inlineStr">
        <is>
          <t>Accumulated other comprehensive income (loss)</t>
        </is>
      </c>
      <c r="C58" s="5" t="n">
        <v>-8.234999999999999</v>
      </c>
      <c r="D58" s="5" t="n">
        <v>3.733</v>
      </c>
      <c r="E58" s="14">
        <f>D58</f>
        <v/>
      </c>
      <c r="F58" s="14">
        <f>E58</f>
        <v/>
      </c>
      <c r="G58" s="14">
        <f>F58</f>
        <v/>
      </c>
      <c r="H58" s="14">
        <f>G58</f>
        <v/>
      </c>
      <c r="I58" s="14">
        <f>H58</f>
        <v/>
      </c>
    </row>
    <row r="59">
      <c r="A59" s="4" t="inlineStr">
        <is>
          <t>Accumulated deficit</t>
        </is>
      </c>
      <c r="C59" s="5" t="n">
        <v>-2837.333</v>
      </c>
      <c r="D59" s="5" t="n">
        <v>-3186.161</v>
      </c>
      <c r="E59" s="14">
        <f>D59+E28</f>
        <v/>
      </c>
      <c r="F59" s="14">
        <f>E59+F28</f>
        <v/>
      </c>
      <c r="G59" s="14">
        <f>F59+G28</f>
        <v/>
      </c>
      <c r="H59" s="14">
        <f>G59+H28</f>
        <v/>
      </c>
      <c r="I59" s="14">
        <f>H59+I28</f>
        <v/>
      </c>
    </row>
    <row r="60">
      <c r="A60" s="3" t="inlineStr">
        <is>
          <t>Total stockholders' equity (deficit)</t>
        </is>
      </c>
      <c r="B60" s="22" t="n"/>
      <c r="C60" s="21">
        <f>SUM(C56:C59)</f>
        <v/>
      </c>
      <c r="D60" s="21">
        <f>SUM(D56:D59)</f>
        <v/>
      </c>
      <c r="E60" s="21">
        <f>SUM(E56:E59)</f>
        <v/>
      </c>
      <c r="F60" s="21">
        <f>SUM(F56:F59)</f>
        <v/>
      </c>
      <c r="G60" s="21">
        <f>SUM(G56:G59)</f>
        <v/>
      </c>
      <c r="H60" s="21">
        <f>SUM(H56:H59)</f>
        <v/>
      </c>
      <c r="I60" s="21">
        <f>SUM(I56:I59)</f>
        <v/>
      </c>
    </row>
    <row r="61">
      <c r="A61" s="3" t="inlineStr">
        <is>
          <t>Total liabilities and equity</t>
        </is>
      </c>
      <c r="B61" s="22" t="n"/>
      <c r="C61" s="21">
        <f>C54+C60</f>
        <v/>
      </c>
      <c r="D61" s="21">
        <f>D54+D60</f>
        <v/>
      </c>
      <c r="E61" s="21">
        <f>E54+E60</f>
        <v/>
      </c>
      <c r="F61" s="21">
        <f>F54+F60</f>
        <v/>
      </c>
      <c r="G61" s="21">
        <f>G54+G60</f>
        <v/>
      </c>
      <c r="H61" s="21">
        <f>H54+H60</f>
        <v/>
      </c>
      <c r="I61" s="21">
        <f>I54+I60</f>
        <v/>
      </c>
    </row>
    <row r="62">
      <c r="A62" s="3" t="inlineStr">
        <is>
          <t>Balance check: assets minus liabilities and equity (must be zero)</t>
        </is>
      </c>
      <c r="C62" s="23">
        <f>ROUND(C44-C61,3)</f>
        <v/>
      </c>
      <c r="D62" s="23">
        <f>ROUND(D44-D61,3)</f>
        <v/>
      </c>
      <c r="E62" s="23">
        <f>ROUND(E44-E61,3)</f>
        <v/>
      </c>
      <c r="F62" s="23">
        <f>ROUND(F44-F61,3)</f>
        <v/>
      </c>
      <c r="G62" s="23">
        <f>ROUND(G44-G61,3)</f>
        <v/>
      </c>
      <c r="H62" s="23">
        <f>ROUND(H44-H61,3)</f>
        <v/>
      </c>
      <c r="I62" s="23">
        <f>ROUND(I44-I61,3)</f>
        <v/>
      </c>
    </row>
    <row r="64">
      <c r="A64" s="3" t="inlineStr">
        <is>
          <t>CASH FLOW STATEMENT</t>
        </is>
      </c>
    </row>
    <row r="65">
      <c r="A65" s="4" t="inlineStr">
        <is>
          <t>Net income</t>
        </is>
      </c>
      <c r="B65" s="14">
        <f>B28</f>
        <v/>
      </c>
      <c r="C65" s="14">
        <f>C28</f>
        <v/>
      </c>
      <c r="D65" s="14">
        <f>D28</f>
        <v/>
      </c>
      <c r="E65" s="14">
        <f>E28</f>
        <v/>
      </c>
      <c r="F65" s="14">
        <f>F28</f>
        <v/>
      </c>
      <c r="G65" s="14">
        <f>G28</f>
        <v/>
      </c>
      <c r="H65" s="14">
        <f>H28</f>
        <v/>
      </c>
      <c r="I65" s="14">
        <f>I28</f>
        <v/>
      </c>
    </row>
    <row r="66">
      <c r="A66" s="4" t="inlineStr">
        <is>
          <t>Depreciation and amortisation</t>
        </is>
      </c>
      <c r="B66" s="14">
        <f>B30</f>
        <v/>
      </c>
      <c r="C66" s="14">
        <f>C30</f>
        <v/>
      </c>
      <c r="D66" s="14">
        <f>D30</f>
        <v/>
      </c>
      <c r="E66" s="14">
        <f>E30</f>
        <v/>
      </c>
      <c r="F66" s="14">
        <f>F30</f>
        <v/>
      </c>
      <c r="G66" s="14">
        <f>G30</f>
        <v/>
      </c>
      <c r="H66" s="14">
        <f>H30</f>
        <v/>
      </c>
      <c r="I66" s="14">
        <f>I30</f>
        <v/>
      </c>
    </row>
    <row r="67">
      <c r="A67" s="4" t="inlineStr">
        <is>
          <t>Stock-based compensation</t>
        </is>
      </c>
      <c r="B67" s="14">
        <f>B29</f>
        <v/>
      </c>
      <c r="C67" s="14">
        <f>C29</f>
        <v/>
      </c>
      <c r="D67" s="14">
        <f>D29</f>
        <v/>
      </c>
      <c r="E67" s="14">
        <f>E29</f>
        <v/>
      </c>
      <c r="F67" s="14">
        <f>F29</f>
        <v/>
      </c>
      <c r="G67" s="14">
        <f>G29</f>
        <v/>
      </c>
      <c r="H67" s="14">
        <f>H29</f>
        <v/>
      </c>
      <c r="I67" s="14">
        <f>I29</f>
        <v/>
      </c>
    </row>
    <row r="68">
      <c r="A68" s="4" t="inlineStr">
        <is>
          <t>Non-cash interest (note accretion)</t>
        </is>
      </c>
      <c r="B68" s="5" t="n">
        <v>10.117</v>
      </c>
      <c r="C68" s="5" t="n">
        <v>34.256</v>
      </c>
      <c r="D68" s="5" t="n">
        <v>0</v>
      </c>
      <c r="E68" s="14">
        <f>E52-D52</f>
        <v/>
      </c>
      <c r="F68" s="14">
        <f>F52-E52</f>
        <v/>
      </c>
      <c r="G68" s="14">
        <f>G52-F52</f>
        <v/>
      </c>
      <c r="H68" s="14">
        <f>H52-G52</f>
        <v/>
      </c>
      <c r="I68" s="14">
        <f>I52-H52</f>
        <v/>
      </c>
    </row>
    <row r="69">
      <c r="A69" s="4" t="inlineStr">
        <is>
          <t>Other non-cash items</t>
        </is>
      </c>
      <c r="B69" s="5" t="n">
        <v>-0.899</v>
      </c>
      <c r="C69" s="5" t="n">
        <v>-6.008</v>
      </c>
      <c r="D69" s="5" t="n">
        <v>7.119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</row>
    <row r="70">
      <c r="A70" s="4" t="inlineStr">
        <is>
          <t>Change in accounts receivable</t>
        </is>
      </c>
      <c r="B70" s="5" t="n">
        <v>17.157</v>
      </c>
      <c r="C70" s="5" t="n">
        <v>-44.255</v>
      </c>
      <c r="D70" s="5" t="n">
        <v>-79.786</v>
      </c>
      <c r="E70" s="14">
        <f>-(E36-D36)</f>
        <v/>
      </c>
      <c r="F70" s="14">
        <f>-(F36-E36)</f>
        <v/>
      </c>
      <c r="G70" s="14">
        <f>-(G36-F36)</f>
        <v/>
      </c>
      <c r="H70" s="14">
        <f>-(H36-G36)</f>
        <v/>
      </c>
      <c r="I70" s="14">
        <f>-(I36-H36)</f>
        <v/>
      </c>
    </row>
    <row r="71">
      <c r="A71" s="4" t="inlineStr">
        <is>
          <t>Change in deferred commissions (net of amortisation)</t>
        </is>
      </c>
      <c r="B71" s="5" t="n">
        <v>-30.618</v>
      </c>
      <c r="C71" s="5" t="n">
        <v>-38.513</v>
      </c>
      <c r="D71" s="5" t="n">
        <v>-43.859</v>
      </c>
      <c r="E71" s="14">
        <f>-((E37+E41)-(D37+D41))</f>
        <v/>
      </c>
      <c r="F71" s="14">
        <f>-((F37+F41)-(E37+E41))</f>
        <v/>
      </c>
      <c r="G71" s="14">
        <f>-((G37+G41)-(F37+F41))</f>
        <v/>
      </c>
      <c r="H71" s="14">
        <f>-((H37+H41)-(G37+G41))</f>
        <v/>
      </c>
      <c r="I71" s="14">
        <f>-((I37+I41)-(H37+H41))</f>
        <v/>
      </c>
    </row>
    <row r="72">
      <c r="A72" s="4" t="inlineStr">
        <is>
          <t>Change in prepaid and other assets</t>
        </is>
      </c>
      <c r="B72" s="5" t="n">
        <v>2.251</v>
      </c>
      <c r="C72" s="5" t="n">
        <v>-48.818</v>
      </c>
      <c r="D72" s="5" t="n">
        <v>-111.727</v>
      </c>
      <c r="E72" s="14">
        <f>-(E38-D38)</f>
        <v/>
      </c>
      <c r="F72" s="14">
        <f>-(F38-E38)</f>
        <v/>
      </c>
      <c r="G72" s="14">
        <f>-(G38-F38)</f>
        <v/>
      </c>
      <c r="H72" s="14">
        <f>-(H38-G38)</f>
        <v/>
      </c>
      <c r="I72" s="14">
        <f>-(I38-H38)</f>
        <v/>
      </c>
    </row>
    <row r="73">
      <c r="A73" s="4" t="inlineStr">
        <is>
          <t>Change in accounts payable</t>
        </is>
      </c>
      <c r="B73" s="5" t="n">
        <v>-1.012</v>
      </c>
      <c r="C73" s="5" t="n">
        <v>4.479</v>
      </c>
      <c r="D73" s="5" t="n">
        <v>4.479</v>
      </c>
      <c r="E73" s="14">
        <f>E46-D46</f>
        <v/>
      </c>
      <c r="F73" s="14">
        <f>F46-E46</f>
        <v/>
      </c>
      <c r="G73" s="14">
        <f>G46-F46</f>
        <v/>
      </c>
      <c r="H73" s="14">
        <f>H46-G46</f>
        <v/>
      </c>
      <c r="I73" s="14">
        <f>I46-H46</f>
        <v/>
      </c>
    </row>
    <row r="74">
      <c r="A74" s="4" t="inlineStr">
        <is>
          <t>Change in accrued and other liabilities</t>
        </is>
      </c>
      <c r="B74" s="5" t="n">
        <v>22.872</v>
      </c>
      <c r="C74" s="5" t="n">
        <v>45.882</v>
      </c>
      <c r="D74" s="5" t="n">
        <v>63.225</v>
      </c>
      <c r="E74" s="14">
        <f>(E47-D47)+(E51-D51)</f>
        <v/>
      </c>
      <c r="F74" s="14">
        <f>(F47-E47)+(F51-E51)</f>
        <v/>
      </c>
      <c r="G74" s="14">
        <f>(G47-F47)+(G51-F51)</f>
        <v/>
      </c>
      <c r="H74" s="14">
        <f>(H47-G47)+(H51-G51)</f>
        <v/>
      </c>
      <c r="I74" s="14">
        <f>(I47-H47)+(I51-H51)</f>
        <v/>
      </c>
    </row>
    <row r="75">
      <c r="A75" s="4" t="inlineStr">
        <is>
          <t>Change in deferred revenue</t>
        </is>
      </c>
      <c r="B75" s="5" t="n">
        <v>299.752</v>
      </c>
      <c r="C75" s="5" t="n">
        <v>313.244</v>
      </c>
      <c r="D75" s="5" t="n">
        <v>425.796</v>
      </c>
      <c r="E75" s="14">
        <f>(E48+E50)-(D48+D50)</f>
        <v/>
      </c>
      <c r="F75" s="14">
        <f>(F48+F50)-(E48+E50)</f>
        <v/>
      </c>
      <c r="G75" s="14">
        <f>(G48+G50)-(F48+F50)</f>
        <v/>
      </c>
      <c r="H75" s="14">
        <f>(H48+H50)-(G48+G50)</f>
        <v/>
      </c>
      <c r="I75" s="14">
        <f>(I48+I50)-(H48+H50)</f>
        <v/>
      </c>
    </row>
    <row r="76">
      <c r="A76" s="3" t="inlineStr">
        <is>
          <t>Cash from operating activities</t>
        </is>
      </c>
      <c r="B76" s="21">
        <f>SUM(B65:B75)</f>
        <v/>
      </c>
      <c r="C76" s="21">
        <f>SUM(C65:C75)</f>
        <v/>
      </c>
      <c r="D76" s="21">
        <f>SUM(D65:D75)</f>
        <v/>
      </c>
      <c r="E76" s="21">
        <f>SUM(E65:E75)</f>
        <v/>
      </c>
      <c r="F76" s="21">
        <f>SUM(F65:F75)</f>
        <v/>
      </c>
      <c r="G76" s="21">
        <f>SUM(G65:G75)</f>
        <v/>
      </c>
      <c r="H76" s="21">
        <f>SUM(H65:H75)</f>
        <v/>
      </c>
      <c r="I76" s="21">
        <f>SUM(I65:I75)</f>
        <v/>
      </c>
    </row>
    <row r="78">
      <c r="A78" s="4" t="inlineStr">
        <is>
          <t>Capex incl. capitalised software</t>
        </is>
      </c>
      <c r="B78" s="5" t="n">
        <v>-20.008</v>
      </c>
      <c r="C78" s="5" t="n">
        <v>-26.599</v>
      </c>
      <c r="D78" s="5" t="n">
        <v>-45.068</v>
      </c>
      <c r="E78" s="14">
        <f>-E12*Assumptions!E30</f>
        <v/>
      </c>
      <c r="F78" s="14">
        <f>-F12*Assumptions!F30</f>
        <v/>
      </c>
      <c r="G78" s="14">
        <f>-G12*Assumptions!G30</f>
        <v/>
      </c>
      <c r="H78" s="14">
        <f>-H12*Assumptions!H30</f>
        <v/>
      </c>
      <c r="I78" s="14">
        <f>-I12*Assumptions!I30</f>
        <v/>
      </c>
    </row>
    <row r="79">
      <c r="A79" s="4" t="inlineStr">
        <is>
          <t>Acquisitions</t>
        </is>
      </c>
      <c r="B79" s="5" t="n">
        <v>-90.328</v>
      </c>
      <c r="C79" s="5" t="n">
        <v>0</v>
      </c>
      <c r="D79" s="5" t="n">
        <v>-21.259</v>
      </c>
      <c r="E79" s="14">
        <f>-Assumptions!E33</f>
        <v/>
      </c>
      <c r="F79" s="14">
        <f>-Assumptions!F33</f>
        <v/>
      </c>
      <c r="G79" s="14">
        <f>-Assumptions!G33</f>
        <v/>
      </c>
      <c r="H79" s="14">
        <f>-Assumptions!H33</f>
        <v/>
      </c>
      <c r="I79" s="14">
        <f>-Assumptions!I33</f>
        <v/>
      </c>
    </row>
    <row r="80">
      <c r="A80" s="4" t="inlineStr">
        <is>
          <t>Net (purchases) / maturities of investments</t>
        </is>
      </c>
      <c r="B80" s="5" t="n">
        <v>16.713</v>
      </c>
      <c r="C80" s="5" t="n">
        <v>-356.843</v>
      </c>
      <c r="D80" s="5" t="n">
        <v>-763.7619999999999</v>
      </c>
      <c r="E80" s="14">
        <f>-(E35-D35)</f>
        <v/>
      </c>
      <c r="F80" s="14">
        <f>-(F35-E35)</f>
        <v/>
      </c>
      <c r="G80" s="14">
        <f>-(G35-F35)</f>
        <v/>
      </c>
      <c r="H80" s="14">
        <f>-(H35-G35)</f>
        <v/>
      </c>
      <c r="I80" s="14">
        <f>-(I35-H35)</f>
        <v/>
      </c>
    </row>
    <row r="81">
      <c r="A81" s="3" t="inlineStr">
        <is>
          <t>Cash from investing activities</t>
        </is>
      </c>
      <c r="B81" s="21">
        <f>SUM(B78:B80)</f>
        <v/>
      </c>
      <c r="C81" s="21">
        <f>SUM(C78:C80)</f>
        <v/>
      </c>
      <c r="D81" s="21">
        <f>SUM(D78:D80)</f>
        <v/>
      </c>
      <c r="E81" s="21">
        <f>SUM(E78:E80)</f>
        <v/>
      </c>
      <c r="F81" s="21">
        <f>SUM(F78:F80)</f>
        <v/>
      </c>
      <c r="G81" s="21">
        <f>SUM(G78:G80)</f>
        <v/>
      </c>
      <c r="H81" s="21">
        <f>SUM(H78:H80)</f>
        <v/>
      </c>
      <c r="I81" s="21">
        <f>SUM(I78:I80)</f>
        <v/>
      </c>
    </row>
    <row r="83">
      <c r="A83" s="4" t="inlineStr">
        <is>
          <t>Cash from financing activities</t>
        </is>
      </c>
      <c r="B83" s="5" t="n">
        <v>95.949</v>
      </c>
      <c r="C83" s="5" t="n">
        <v>398.023</v>
      </c>
      <c r="D83" s="5" t="n">
        <v>736.501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</row>
    <row r="84">
      <c r="A84" s="4" t="inlineStr">
        <is>
          <t>Effect of exchange rates</t>
        </is>
      </c>
      <c r="B84" s="5" t="n">
        <v>-1.355</v>
      </c>
      <c r="C84" s="5" t="n">
        <v>-6.274</v>
      </c>
      <c r="D84" s="5" t="n">
        <v>9.826000000000001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Net change in cash</t>
        </is>
      </c>
      <c r="B85" s="21">
        <f>B76+B81+B83+B84</f>
        <v/>
      </c>
      <c r="C85" s="21">
        <f>C76+C81+C83+C84</f>
        <v/>
      </c>
      <c r="D85" s="21">
        <f>D76+D81+D83+D84</f>
        <v/>
      </c>
      <c r="E85" s="21">
        <f>E76+E81+E83+E84</f>
        <v/>
      </c>
      <c r="F85" s="21">
        <f>F76+F81+F83+F84</f>
        <v/>
      </c>
      <c r="G85" s="21">
        <f>G76+G81+G83+G84</f>
        <v/>
      </c>
      <c r="H85" s="21">
        <f>H76+H81+H83+H84</f>
        <v/>
      </c>
      <c r="I85" s="21">
        <f>I76+I81+I83+I84</f>
        <v/>
      </c>
    </row>
    <row r="86">
      <c r="A86" s="4" t="inlineStr">
        <is>
          <t>Opening cash</t>
        </is>
      </c>
      <c r="B86" s="5" t="n">
        <v>140.606</v>
      </c>
      <c r="C86" s="5" t="n">
        <v>137.059</v>
      </c>
      <c r="D86" s="5" t="n">
        <v>193.594</v>
      </c>
      <c r="E86" s="14">
        <f>D34</f>
        <v/>
      </c>
      <c r="F86" s="14">
        <f>E34</f>
        <v/>
      </c>
      <c r="G86" s="14">
        <f>F34</f>
        <v/>
      </c>
      <c r="H86" s="14">
        <f>G34</f>
        <v/>
      </c>
      <c r="I86" s="14">
        <f>H34</f>
        <v/>
      </c>
    </row>
    <row r="87">
      <c r="A87" s="3" t="inlineStr">
        <is>
          <t>Closing cash</t>
        </is>
      </c>
      <c r="B87" s="21">
        <f>B86+B85</f>
        <v/>
      </c>
      <c r="C87" s="21">
        <f>C86+C85</f>
        <v/>
      </c>
      <c r="D87" s="21">
        <f>D86+D85</f>
        <v/>
      </c>
      <c r="E87" s="21">
        <f>E86+E85</f>
        <v/>
      </c>
      <c r="F87" s="21">
        <f>F86+F85</f>
        <v/>
      </c>
      <c r="G87" s="21">
        <f>G86+G85</f>
        <v/>
      </c>
      <c r="H87" s="21">
        <f>H86+H85</f>
        <v/>
      </c>
      <c r="I87" s="21">
        <f>I86+I85</f>
        <v/>
      </c>
    </row>
    <row r="88">
      <c r="A88" s="2" t="inlineStr">
        <is>
          <t>Historical opening and closing cash include restricted cash (about $12.5m at FY2026); projected cash equals balance sheet cash.</t>
        </is>
      </c>
    </row>
    <row r="90">
      <c r="A90" s="3" t="inlineStr">
        <is>
          <t>Free cash flow (operating cash flow less capex)</t>
        </is>
      </c>
      <c r="B90" s="21">
        <f>B76+B78</f>
        <v/>
      </c>
      <c r="C90" s="21">
        <f>C76+C78</f>
        <v/>
      </c>
      <c r="D90" s="21">
        <f>D76+D78</f>
        <v/>
      </c>
      <c r="E90" s="21">
        <f>E76+E78</f>
        <v/>
      </c>
      <c r="F90" s="21">
        <f>F76+F78</f>
        <v/>
      </c>
      <c r="G90" s="21">
        <f>G76+G78</f>
        <v/>
      </c>
      <c r="H90" s="21">
        <f>H76+H78</f>
        <v/>
      </c>
      <c r="I90" s="21">
        <f>I76+I78</f>
        <v/>
      </c>
    </row>
    <row r="91">
      <c r="A91" s="4" t="inlineStr">
        <is>
          <t xml:space="preserve">  Free cash flow margin</t>
        </is>
      </c>
      <c r="B91" s="13">
        <f>B90/B12</f>
        <v/>
      </c>
      <c r="C91" s="13">
        <f>C90/C12</f>
        <v/>
      </c>
      <c r="D91" s="13">
        <f>D90/D12</f>
        <v/>
      </c>
      <c r="E91" s="13">
        <f>E90/E12</f>
        <v/>
      </c>
      <c r="F91" s="13">
        <f>F90/F12</f>
        <v/>
      </c>
      <c r="G91" s="13">
        <f>G90/G12</f>
        <v/>
      </c>
      <c r="H91" s="13">
        <f>H90/H12</f>
        <v/>
      </c>
      <c r="I91" s="13">
        <f>I90/I12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Rubrik (RBRK): discounted cash flow</t>
        </is>
      </c>
    </row>
    <row r="2">
      <c r="A2" s="2" t="inlineStr">
        <is>
          <t>$ millions. Valuation date 31 Jan 2026. End-of-year discounting. SBC treated as an operating cost (not added back).</t>
        </is>
      </c>
    </row>
    <row r="3">
      <c r="C3" s="15" t="inlineStr">
        <is>
          <t>FY2027E</t>
        </is>
      </c>
      <c r="D3" s="15" t="inlineStr">
        <is>
          <t>FY2028E</t>
        </is>
      </c>
      <c r="E3" s="15" t="inlineStr">
        <is>
          <t>FY2029E</t>
        </is>
      </c>
      <c r="F3" s="15" t="inlineStr">
        <is>
          <t>FY2030E</t>
        </is>
      </c>
      <c r="G3" s="15" t="inlineStr">
        <is>
          <t>FY2031E</t>
        </is>
      </c>
      <c r="H3" s="15" t="inlineStr">
        <is>
          <t>FY2032E</t>
        </is>
      </c>
      <c r="I3" s="15" t="inlineStr">
        <is>
          <t>FY2033E</t>
        </is>
      </c>
      <c r="J3" s="15" t="inlineStr">
        <is>
          <t>FY2034E</t>
        </is>
      </c>
      <c r="K3" s="15" t="inlineStr">
        <is>
          <t>FY2035E</t>
        </is>
      </c>
      <c r="L3" s="15" t="inlineStr">
        <is>
          <t>FY2036E</t>
        </is>
      </c>
    </row>
    <row r="4">
      <c r="A4" s="4" t="inlineStr">
        <is>
          <t>Stage</t>
        </is>
      </c>
      <c r="C4" s="2" t="inlineStr">
        <is>
          <t>Explicit</t>
        </is>
      </c>
      <c r="D4" s="2" t="inlineStr">
        <is>
          <t>Explicit</t>
        </is>
      </c>
      <c r="E4" s="2" t="inlineStr">
        <is>
          <t>Explicit</t>
        </is>
      </c>
      <c r="F4" s="2" t="inlineStr">
        <is>
          <t>Explicit</t>
        </is>
      </c>
      <c r="G4" s="2" t="inlineStr">
        <is>
          <t>Explicit</t>
        </is>
      </c>
      <c r="H4" s="2" t="inlineStr">
        <is>
          <t>Fade</t>
        </is>
      </c>
      <c r="I4" s="2" t="inlineStr">
        <is>
          <t>Fade</t>
        </is>
      </c>
      <c r="J4" s="2" t="inlineStr">
        <is>
          <t>Fade</t>
        </is>
      </c>
      <c r="K4" s="2" t="inlineStr">
        <is>
          <t>Fade</t>
        </is>
      </c>
      <c r="L4" s="2" t="inlineStr">
        <is>
          <t>Fade</t>
        </is>
      </c>
    </row>
    <row r="5">
      <c r="A5" s="4" t="inlineStr">
        <is>
          <t>Year (t)</t>
        </is>
      </c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</row>
    <row r="6">
      <c r="A6" s="4" t="inlineStr">
        <is>
          <t>Revenue</t>
        </is>
      </c>
      <c r="C6" s="16">
        <f>Model!E12</f>
        <v/>
      </c>
      <c r="D6" s="16">
        <f>Model!F12</f>
        <v/>
      </c>
      <c r="E6" s="16">
        <f>Model!G12</f>
        <v/>
      </c>
      <c r="F6" s="16">
        <f>Model!H12</f>
        <v/>
      </c>
      <c r="G6" s="16">
        <f>Model!I12</f>
        <v/>
      </c>
      <c r="H6" s="14">
        <f>G6*(1+H7)</f>
        <v/>
      </c>
      <c r="I6" s="14">
        <f>H6*(1+I7)</f>
        <v/>
      </c>
      <c r="J6" s="14">
        <f>I6*(1+J7)</f>
        <v/>
      </c>
      <c r="K6" s="14">
        <f>J6*(1+K7)</f>
        <v/>
      </c>
      <c r="L6" s="14">
        <f>K6*(1+L7)</f>
        <v/>
      </c>
    </row>
    <row r="7">
      <c r="A7" s="4" t="inlineStr">
        <is>
          <t xml:space="preserve">  Revenue growth</t>
        </is>
      </c>
      <c r="C7" s="24">
        <f>Model!E13</f>
        <v/>
      </c>
      <c r="D7" s="24">
        <f>Model!F13</f>
        <v/>
      </c>
      <c r="E7" s="24">
        <f>Model!G13</f>
        <v/>
      </c>
      <c r="F7" s="24">
        <f>Model!H13</f>
        <v/>
      </c>
      <c r="G7" s="24">
        <f>Model!I13</f>
        <v/>
      </c>
      <c r="H7" s="13">
        <f>$G$7-($G$7-Assumptions!$B$48)*(H$5-5)/5</f>
        <v/>
      </c>
      <c r="I7" s="13">
        <f>$G$7-($G$7-Assumptions!$B$48)*(I$5-5)/5</f>
        <v/>
      </c>
      <c r="J7" s="13">
        <f>$G$7-($G$7-Assumptions!$B$48)*(J$5-5)/5</f>
        <v/>
      </c>
      <c r="K7" s="13">
        <f>$G$7-($G$7-Assumptions!$B$48)*(K$5-5)/5</f>
        <v/>
      </c>
      <c r="L7" s="13">
        <f>$G$7-($G$7-Assumptions!$B$48)*(L$5-5)/5</f>
        <v/>
      </c>
    </row>
    <row r="8">
      <c r="A8" s="4" t="inlineStr">
        <is>
          <t>EBIT (after SBC)</t>
        </is>
      </c>
      <c r="C8" s="16">
        <f>Model!E21</f>
        <v/>
      </c>
      <c r="D8" s="16">
        <f>Model!F21</f>
        <v/>
      </c>
      <c r="E8" s="16">
        <f>Model!G21</f>
        <v/>
      </c>
      <c r="F8" s="16">
        <f>Model!H21</f>
        <v/>
      </c>
      <c r="G8" s="16">
        <f>Model!I21</f>
        <v/>
      </c>
    </row>
    <row r="9">
      <c r="A9" s="4" t="inlineStr">
        <is>
          <t>Less: cash taxes</t>
        </is>
      </c>
      <c r="C9" s="16">
        <f>-Model!E27</f>
        <v/>
      </c>
      <c r="D9" s="16">
        <f>-Model!F27</f>
        <v/>
      </c>
      <c r="E9" s="16">
        <f>-Model!G27</f>
        <v/>
      </c>
      <c r="F9" s="16">
        <f>-Model!H27</f>
        <v/>
      </c>
      <c r="G9" s="16">
        <f>-Model!I27</f>
        <v/>
      </c>
    </row>
    <row r="10">
      <c r="A10" s="4" t="inlineStr">
        <is>
          <t>Plus: depreciation and amortisation</t>
        </is>
      </c>
      <c r="C10" s="16">
        <f>Model!E30</f>
        <v/>
      </c>
      <c r="D10" s="16">
        <f>Model!F30</f>
        <v/>
      </c>
      <c r="E10" s="16">
        <f>Model!G30</f>
        <v/>
      </c>
      <c r="F10" s="16">
        <f>Model!H30</f>
        <v/>
      </c>
      <c r="G10" s="16">
        <f>Model!I30</f>
        <v/>
      </c>
    </row>
    <row r="11">
      <c r="A11" s="4" t="inlineStr">
        <is>
          <t>Less: capex</t>
        </is>
      </c>
      <c r="C11" s="16">
        <f>Model!E78</f>
        <v/>
      </c>
      <c r="D11" s="16">
        <f>Model!F78</f>
        <v/>
      </c>
      <c r="E11" s="16">
        <f>Model!G78</f>
        <v/>
      </c>
      <c r="F11" s="16">
        <f>Model!H78</f>
        <v/>
      </c>
      <c r="G11" s="16">
        <f>Model!I78</f>
        <v/>
      </c>
    </row>
    <row r="12">
      <c r="A12" s="4" t="inlineStr">
        <is>
          <t>Plus / (less): change in net working capital</t>
        </is>
      </c>
      <c r="C12" s="16">
        <f>SUM(Model!E70:E75)</f>
        <v/>
      </c>
      <c r="D12" s="16">
        <f>SUM(Model!F70:F75)</f>
        <v/>
      </c>
      <c r="E12" s="16">
        <f>SUM(Model!G70:G75)</f>
        <v/>
      </c>
      <c r="F12" s="16">
        <f>SUM(Model!H70:H75)</f>
        <v/>
      </c>
      <c r="G12" s="16">
        <f>SUM(Model!I70:I75)</f>
        <v/>
      </c>
    </row>
    <row r="13">
      <c r="A13" s="3" t="inlineStr">
        <is>
          <t>Unlevered free cash flow</t>
        </is>
      </c>
      <c r="C13" s="21">
        <f>SUM(C8:C12)</f>
        <v/>
      </c>
      <c r="D13" s="21">
        <f>SUM(D8:D12)</f>
        <v/>
      </c>
      <c r="E13" s="21">
        <f>SUM(E8:E12)</f>
        <v/>
      </c>
      <c r="F13" s="21">
        <f>SUM(F8:F12)</f>
        <v/>
      </c>
      <c r="G13" s="21">
        <f>SUM(G8:G12)</f>
        <v/>
      </c>
      <c r="H13" s="21">
        <f>H6*H14</f>
        <v/>
      </c>
      <c r="I13" s="21">
        <f>I6*I14</f>
        <v/>
      </c>
      <c r="J13" s="21">
        <f>J6*J14</f>
        <v/>
      </c>
      <c r="K13" s="21">
        <f>K6*K14</f>
        <v/>
      </c>
      <c r="L13" s="21">
        <f>L6*L14</f>
        <v/>
      </c>
    </row>
    <row r="14">
      <c r="A14" s="4" t="inlineStr">
        <is>
          <t xml:space="preserve">  UFCF margin</t>
        </is>
      </c>
      <c r="C14" s="13">
        <f>C13/C6</f>
        <v/>
      </c>
      <c r="D14" s="13">
        <f>D13/D6</f>
        <v/>
      </c>
      <c r="E14" s="13">
        <f>E13/E6</f>
        <v/>
      </c>
      <c r="F14" s="13">
        <f>F13/F6</f>
        <v/>
      </c>
      <c r="G14" s="13">
        <f>G13/G6</f>
        <v/>
      </c>
      <c r="H14" s="13">
        <f>$G$14+(Assumptions!$B$49-$G$14)*(H$5-5)/5</f>
        <v/>
      </c>
      <c r="I14" s="13">
        <f>$G$14+(Assumptions!$B$49-$G$14)*(I$5-5)/5</f>
        <v/>
      </c>
      <c r="J14" s="13">
        <f>$G$14+(Assumptions!$B$49-$G$14)*(J$5-5)/5</f>
        <v/>
      </c>
      <c r="K14" s="13">
        <f>$G$14+(Assumptions!$B$49-$G$14)*(K$5-5)/5</f>
        <v/>
      </c>
      <c r="L14" s="13">
        <f>$G$14+(Assumptions!$B$49-$G$14)*(L$5-5)/5</f>
        <v/>
      </c>
    </row>
    <row r="15">
      <c r="A15" s="4" t="inlineStr">
        <is>
          <t>Memo: stock-based compensation</t>
        </is>
      </c>
      <c r="C15" s="16">
        <f>Model!E29</f>
        <v/>
      </c>
      <c r="D15" s="16">
        <f>Model!F29</f>
        <v/>
      </c>
      <c r="E15" s="16">
        <f>Model!G29</f>
        <v/>
      </c>
      <c r="F15" s="16">
        <f>Model!H29</f>
        <v/>
      </c>
      <c r="G15" s="16">
        <f>Model!I29</f>
        <v/>
      </c>
    </row>
    <row r="16">
      <c r="A16" s="4" t="inlineStr">
        <is>
          <t>Memo: UFCF if SBC were added back</t>
        </is>
      </c>
      <c r="C16" s="14">
        <f>C13+C15</f>
        <v/>
      </c>
      <c r="D16" s="14">
        <f>D13+D15</f>
        <v/>
      </c>
      <c r="E16" s="14">
        <f>E13+E15</f>
        <v/>
      </c>
      <c r="F16" s="14">
        <f>F13+F15</f>
        <v/>
      </c>
      <c r="G16" s="14">
        <f>G13+G15</f>
        <v/>
      </c>
    </row>
    <row r="17">
      <c r="A17" s="4" t="inlineStr">
        <is>
          <t>Discount factor</t>
        </is>
      </c>
      <c r="C17" s="25">
        <f>1/(1+Assumptions!$B$47)^C5</f>
        <v/>
      </c>
      <c r="D17" s="25">
        <f>1/(1+Assumptions!$B$47)^D5</f>
        <v/>
      </c>
      <c r="E17" s="25">
        <f>1/(1+Assumptions!$B$47)^E5</f>
        <v/>
      </c>
      <c r="F17" s="25">
        <f>1/(1+Assumptions!$B$47)^F5</f>
        <v/>
      </c>
      <c r="G17" s="25">
        <f>1/(1+Assumptions!$B$47)^G5</f>
        <v/>
      </c>
      <c r="H17" s="25">
        <f>1/(1+Assumptions!$B$47)^H5</f>
        <v/>
      </c>
      <c r="I17" s="25">
        <f>1/(1+Assumptions!$B$47)^I5</f>
        <v/>
      </c>
      <c r="J17" s="25">
        <f>1/(1+Assumptions!$B$47)^J5</f>
        <v/>
      </c>
      <c r="K17" s="25">
        <f>1/(1+Assumptions!$B$47)^K5</f>
        <v/>
      </c>
      <c r="L17" s="25">
        <f>1/(1+Assumptions!$B$47)^L5</f>
        <v/>
      </c>
    </row>
    <row r="18">
      <c r="A18" s="4" t="inlineStr">
        <is>
          <t>Present value of UFCF</t>
        </is>
      </c>
      <c r="C18" s="14">
        <f>C13*C17</f>
        <v/>
      </c>
      <c r="D18" s="14">
        <f>D13*D17</f>
        <v/>
      </c>
      <c r="E18" s="14">
        <f>E13*E17</f>
        <v/>
      </c>
      <c r="F18" s="14">
        <f>F13*F17</f>
        <v/>
      </c>
      <c r="G18" s="14">
        <f>G13*G17</f>
        <v/>
      </c>
      <c r="H18" s="14">
        <f>H13*H17</f>
        <v/>
      </c>
      <c r="I18" s="14">
        <f>I13*I17</f>
        <v/>
      </c>
      <c r="J18" s="14">
        <f>J13*J17</f>
        <v/>
      </c>
      <c r="K18" s="14">
        <f>K13*K17</f>
        <v/>
      </c>
      <c r="L18" s="14">
        <f>L13*L17</f>
        <v/>
      </c>
    </row>
    <row r="20">
      <c r="A20" s="3" t="inlineStr">
        <is>
          <t>VALUATION</t>
        </is>
      </c>
    </row>
    <row r="21">
      <c r="A21" s="4" t="inlineStr">
        <is>
          <t>Sum of PV of UFCF, FY2027E to FY2036E</t>
        </is>
      </c>
      <c r="C21" s="14">
        <f>SUM(C18:L18)</f>
        <v/>
      </c>
    </row>
    <row r="22">
      <c r="A22" s="4" t="inlineStr">
        <is>
          <t>Terminal-year UFCF (FY2037)</t>
        </is>
      </c>
      <c r="C22" s="16">
        <f>L13*(1+Assumptions!B48)</f>
        <v/>
      </c>
    </row>
    <row r="23">
      <c r="A23" s="4" t="inlineStr">
        <is>
          <t>Terminal value at end of FY2036</t>
        </is>
      </c>
      <c r="C23" s="16">
        <f>C22/(Assumptions!B47-Assumptions!B48)</f>
        <v/>
      </c>
    </row>
    <row r="24">
      <c r="A24" s="4" t="inlineStr">
        <is>
          <t>PV of terminal value</t>
        </is>
      </c>
      <c r="C24" s="14">
        <f>C23*L17</f>
        <v/>
      </c>
    </row>
    <row r="25">
      <c r="A25" s="3" t="inlineStr">
        <is>
          <t>Enterprise value</t>
        </is>
      </c>
      <c r="C25" s="14">
        <f>C21+C24</f>
        <v/>
      </c>
    </row>
    <row r="26">
      <c r="A26" s="4" t="inlineStr">
        <is>
          <t xml:space="preserve">  Terminal value as % of enterprise value</t>
        </is>
      </c>
      <c r="C26" s="13">
        <f>C24/C25</f>
        <v/>
      </c>
    </row>
    <row r="27">
      <c r="A27" s="4" t="inlineStr">
        <is>
          <t>Plus: cash and short-term investments (31 Jan 2026)</t>
        </is>
      </c>
      <c r="C27" s="16">
        <f>Model!D34+Model!D35</f>
        <v/>
      </c>
    </row>
    <row r="28">
      <c r="A28" s="4" t="inlineStr">
        <is>
          <t>Less: convertible notes at face</t>
        </is>
      </c>
      <c r="C28" s="16">
        <f>Assumptions!B19</f>
        <v/>
      </c>
    </row>
    <row r="29">
      <c r="A29" s="3" t="inlineStr">
        <is>
          <t>Equity value</t>
        </is>
      </c>
      <c r="C29" s="14">
        <f>C25+C27-C28</f>
        <v/>
      </c>
    </row>
    <row r="30">
      <c r="A30" s="4" t="inlineStr">
        <is>
          <t>Diluted shares excluding convertible (m)</t>
        </is>
      </c>
      <c r="C30" s="16">
        <f>Assumptions!B50</f>
        <v/>
      </c>
    </row>
    <row r="31">
      <c r="A31" s="3" t="inlineStr">
        <is>
          <t>Implied value per share at 31 Jan 2026 ($)</t>
        </is>
      </c>
      <c r="C31" s="17">
        <f>C29/C30</f>
        <v/>
      </c>
    </row>
    <row r="32">
      <c r="A32" s="3" t="inlineStr">
        <is>
          <t>Rolled forward to today at the cost of equity ($)</t>
        </is>
      </c>
      <c r="C32" s="18">
        <f>C31*(1+Assumptions!B40)^Assumptions!B51</f>
        <v/>
      </c>
    </row>
    <row r="33">
      <c r="A33" s="4" t="inlineStr">
        <is>
          <t>Current share price ($)</t>
        </is>
      </c>
      <c r="C33" s="18">
        <f>Assumptions!B43</f>
        <v/>
      </c>
    </row>
    <row r="34">
      <c r="A34" s="4" t="inlineStr">
        <is>
          <t>Implied upside / (downside)</t>
        </is>
      </c>
      <c r="C34" s="13">
        <f>C32/C33-1</f>
        <v/>
      </c>
    </row>
    <row r="36">
      <c r="A36" s="3" t="inlineStr">
        <is>
          <t>SENSITIVITY: implied value per share at valuation date ($)</t>
        </is>
      </c>
    </row>
    <row r="37">
      <c r="A37" s="2" t="inlineStr">
        <is>
          <t>Holds the UFCF path fixed and varies the discount rate and the perpetuity growth used in the terminal value.</t>
        </is>
      </c>
    </row>
    <row r="38">
      <c r="B38" s="3" t="inlineStr">
        <is>
          <t>WACC \ g</t>
        </is>
      </c>
      <c r="C38" s="11" t="n">
        <v>0.03</v>
      </c>
      <c r="D38" s="11" t="n">
        <v>0.035</v>
      </c>
      <c r="E38" s="11" t="n">
        <v>0.04</v>
      </c>
      <c r="F38" s="11" t="n">
        <v>0.045</v>
      </c>
      <c r="G38" s="11" t="n">
        <v>0.05</v>
      </c>
    </row>
    <row r="39">
      <c r="B39" s="11" t="n">
        <v>0.075</v>
      </c>
      <c r="C39" s="17">
        <f>(SUMPRODUCT($C$13:$L$13,1/(1+$B39)^$C$5:$L$5)+$L$13*(1+C$38)/($B39-C$38)/(1+$B39)^10+$C$27-$C$28)/$C$30</f>
        <v/>
      </c>
      <c r="D39" s="17">
        <f>(SUMPRODUCT($C$13:$L$13,1/(1+$B39)^$C$5:$L$5)+$L$13*(1+D$38)/($B39-D$38)/(1+$B39)^10+$C$27-$C$28)/$C$30</f>
        <v/>
      </c>
      <c r="E39" s="17">
        <f>(SUMPRODUCT($C$13:$L$13,1/(1+$B39)^$C$5:$L$5)+$L$13*(1+E$38)/($B39-E$38)/(1+$B39)^10+$C$27-$C$28)/$C$30</f>
        <v/>
      </c>
      <c r="F39" s="17">
        <f>(SUMPRODUCT($C$13:$L$13,1/(1+$B39)^$C$5:$L$5)+$L$13*(1+F$38)/($B39-F$38)/(1+$B39)^10+$C$27-$C$28)/$C$30</f>
        <v/>
      </c>
      <c r="G39" s="17">
        <f>(SUMPRODUCT($C$13:$L$13,1/(1+$B39)^$C$5:$L$5)+$L$13*(1+G$38)/($B39-G$38)/(1+$B39)^10+$C$27-$C$28)/$C$30</f>
        <v/>
      </c>
    </row>
    <row r="40">
      <c r="B40" s="11" t="n">
        <v>0.08</v>
      </c>
      <c r="C40" s="17">
        <f>(SUMPRODUCT($C$13:$L$13,1/(1+$B40)^$C$5:$L$5)+$L$13*(1+C$38)/($B40-C$38)/(1+$B40)^10+$C$27-$C$28)/$C$30</f>
        <v/>
      </c>
      <c r="D40" s="17">
        <f>(SUMPRODUCT($C$13:$L$13,1/(1+$B40)^$C$5:$L$5)+$L$13*(1+D$38)/($B40-D$38)/(1+$B40)^10+$C$27-$C$28)/$C$30</f>
        <v/>
      </c>
      <c r="E40" s="17">
        <f>(SUMPRODUCT($C$13:$L$13,1/(1+$B40)^$C$5:$L$5)+$L$13*(1+E$38)/($B40-E$38)/(1+$B40)^10+$C$27-$C$28)/$C$30</f>
        <v/>
      </c>
      <c r="F40" s="17">
        <f>(SUMPRODUCT($C$13:$L$13,1/(1+$B40)^$C$5:$L$5)+$L$13*(1+F$38)/($B40-F$38)/(1+$B40)^10+$C$27-$C$28)/$C$30</f>
        <v/>
      </c>
      <c r="G40" s="17">
        <f>(SUMPRODUCT($C$13:$L$13,1/(1+$B40)^$C$5:$L$5)+$L$13*(1+G$38)/($B40-G$38)/(1+$B40)^10+$C$27-$C$28)/$C$30</f>
        <v/>
      </c>
    </row>
    <row r="41">
      <c r="B41" s="11" t="n">
        <v>0.08500000000000001</v>
      </c>
      <c r="C41" s="17">
        <f>(SUMPRODUCT($C$13:$L$13,1/(1+$B41)^$C$5:$L$5)+$L$13*(1+C$38)/($B41-C$38)/(1+$B41)^10+$C$27-$C$28)/$C$30</f>
        <v/>
      </c>
      <c r="D41" s="17">
        <f>(SUMPRODUCT($C$13:$L$13,1/(1+$B41)^$C$5:$L$5)+$L$13*(1+D$38)/($B41-D$38)/(1+$B41)^10+$C$27-$C$28)/$C$30</f>
        <v/>
      </c>
      <c r="E41" s="17">
        <f>(SUMPRODUCT($C$13:$L$13,1/(1+$B41)^$C$5:$L$5)+$L$13*(1+E$38)/($B41-E$38)/(1+$B41)^10+$C$27-$C$28)/$C$30</f>
        <v/>
      </c>
      <c r="F41" s="17">
        <f>(SUMPRODUCT($C$13:$L$13,1/(1+$B41)^$C$5:$L$5)+$L$13*(1+F$38)/($B41-F$38)/(1+$B41)^10+$C$27-$C$28)/$C$30</f>
        <v/>
      </c>
      <c r="G41" s="17">
        <f>(SUMPRODUCT($C$13:$L$13,1/(1+$B41)^$C$5:$L$5)+$L$13*(1+G$38)/($B41-G$38)/(1+$B41)^10+$C$27-$C$28)/$C$30</f>
        <v/>
      </c>
    </row>
    <row r="42">
      <c r="B42" s="11" t="n">
        <v>0.09</v>
      </c>
      <c r="C42" s="17">
        <f>(SUMPRODUCT($C$13:$L$13,1/(1+$B42)^$C$5:$L$5)+$L$13*(1+C$38)/($B42-C$38)/(1+$B42)^10+$C$27-$C$28)/$C$30</f>
        <v/>
      </c>
      <c r="D42" s="17">
        <f>(SUMPRODUCT($C$13:$L$13,1/(1+$B42)^$C$5:$L$5)+$L$13*(1+D$38)/($B42-D$38)/(1+$B42)^10+$C$27-$C$28)/$C$30</f>
        <v/>
      </c>
      <c r="E42" s="17">
        <f>(SUMPRODUCT($C$13:$L$13,1/(1+$B42)^$C$5:$L$5)+$L$13*(1+E$38)/($B42-E$38)/(1+$B42)^10+$C$27-$C$28)/$C$30</f>
        <v/>
      </c>
      <c r="F42" s="17">
        <f>(SUMPRODUCT($C$13:$L$13,1/(1+$B42)^$C$5:$L$5)+$L$13*(1+F$38)/($B42-F$38)/(1+$B42)^10+$C$27-$C$28)/$C$30</f>
        <v/>
      </c>
      <c r="G42" s="17">
        <f>(SUMPRODUCT($C$13:$L$13,1/(1+$B42)^$C$5:$L$5)+$L$13*(1+G$38)/($B42-G$38)/(1+$B42)^10+$C$27-$C$28)/$C$30</f>
        <v/>
      </c>
    </row>
    <row r="43">
      <c r="B43" s="11" t="n">
        <v>0.095</v>
      </c>
      <c r="C43" s="17">
        <f>(SUMPRODUCT($C$13:$L$13,1/(1+$B43)^$C$5:$L$5)+$L$13*(1+C$38)/($B43-C$38)/(1+$B43)^10+$C$27-$C$28)/$C$30</f>
        <v/>
      </c>
      <c r="D43" s="17">
        <f>(SUMPRODUCT($C$13:$L$13,1/(1+$B43)^$C$5:$L$5)+$L$13*(1+D$38)/($B43-D$38)/(1+$B43)^10+$C$27-$C$28)/$C$30</f>
        <v/>
      </c>
      <c r="E43" s="17">
        <f>(SUMPRODUCT($C$13:$L$13,1/(1+$B43)^$C$5:$L$5)+$L$13*(1+E$38)/($B43-E$38)/(1+$B43)^10+$C$27-$C$28)/$C$30</f>
        <v/>
      </c>
      <c r="F43" s="17">
        <f>(SUMPRODUCT($C$13:$L$13,1/(1+$B43)^$C$5:$L$5)+$L$13*(1+F$38)/($B43-F$38)/(1+$B43)^10+$C$27-$C$28)/$C$30</f>
        <v/>
      </c>
      <c r="G43" s="17">
        <f>(SUMPRODUCT($C$13:$L$13,1/(1+$B43)^$C$5:$L$5)+$L$13*(1+G$38)/($B43-G$38)/(1+$B43)^10+$C$27-$C$28)/$C$30</f>
        <v/>
      </c>
    </row>
    <row r="44">
      <c r="B44" s="11" t="n">
        <v>0.1</v>
      </c>
      <c r="C44" s="17">
        <f>(SUMPRODUCT($C$13:$L$13,1/(1+$B44)^$C$5:$L$5)+$L$13*(1+C$38)/($B44-C$38)/(1+$B44)^10+$C$27-$C$28)/$C$30</f>
        <v/>
      </c>
      <c r="D44" s="17">
        <f>(SUMPRODUCT($C$13:$L$13,1/(1+$B44)^$C$5:$L$5)+$L$13*(1+D$38)/($B44-D$38)/(1+$B44)^10+$C$27-$C$28)/$C$30</f>
        <v/>
      </c>
      <c r="E44" s="17">
        <f>(SUMPRODUCT($C$13:$L$13,1/(1+$B44)^$C$5:$L$5)+$L$13*(1+E$38)/($B44-E$38)/(1+$B44)^10+$C$27-$C$28)/$C$30</f>
        <v/>
      </c>
      <c r="F44" s="17">
        <f>(SUMPRODUCT($C$13:$L$13,1/(1+$B44)^$C$5:$L$5)+$L$13*(1+F$38)/($B44-F$38)/(1+$B44)^10+$C$27-$C$28)/$C$30</f>
        <v/>
      </c>
      <c r="G44" s="17">
        <f>(SUMPRODUCT($C$13:$L$13,1/(1+$B44)^$C$5:$L$5)+$L$13*(1+G$38)/($B44-G$38)/(1+$B44)^10+$C$27-$C$28)/$C$30</f>
        <v/>
      </c>
    </row>
    <row r="45">
      <c r="B45" s="11" t="n">
        <v>0.105</v>
      </c>
      <c r="C45" s="17">
        <f>(SUMPRODUCT($C$13:$L$13,1/(1+$B45)^$C$5:$L$5)+$L$13*(1+C$38)/($B45-C$38)/(1+$B45)^10+$C$27-$C$28)/$C$30</f>
        <v/>
      </c>
      <c r="D45" s="17">
        <f>(SUMPRODUCT($C$13:$L$13,1/(1+$B45)^$C$5:$L$5)+$L$13*(1+D$38)/($B45-D$38)/(1+$B45)^10+$C$27-$C$28)/$C$30</f>
        <v/>
      </c>
      <c r="E45" s="17">
        <f>(SUMPRODUCT($C$13:$L$13,1/(1+$B45)^$C$5:$L$5)+$L$13*(1+E$38)/($B45-E$38)/(1+$B45)^10+$C$27-$C$28)/$C$30</f>
        <v/>
      </c>
      <c r="F45" s="17">
        <f>(SUMPRODUCT($C$13:$L$13,1/(1+$B45)^$C$5:$L$5)+$L$13*(1+F$38)/($B45-F$38)/(1+$B45)^10+$C$27-$C$28)/$C$30</f>
        <v/>
      </c>
      <c r="G45" s="17">
        <f>(SUMPRODUCT($C$13:$L$13,1/(1+$B45)^$C$5:$L$5)+$L$13*(1+G$38)/($B45-G$38)/(1+$B45)^10+$C$27-$C$28)/$C$30</f>
        <v/>
      </c>
    </row>
    <row r="46">
      <c r="B46" s="11" t="n">
        <v>0.11</v>
      </c>
      <c r="C46" s="17">
        <f>(SUMPRODUCT($C$13:$L$13,1/(1+$B46)^$C$5:$L$5)+$L$13*(1+C$38)/($B46-C$38)/(1+$B46)^10+$C$27-$C$28)/$C$30</f>
        <v/>
      </c>
      <c r="D46" s="17">
        <f>(SUMPRODUCT($C$13:$L$13,1/(1+$B46)^$C$5:$L$5)+$L$13*(1+D$38)/($B46-D$38)/(1+$B46)^10+$C$27-$C$28)/$C$30</f>
        <v/>
      </c>
      <c r="E46" s="17">
        <f>(SUMPRODUCT($C$13:$L$13,1/(1+$B46)^$C$5:$L$5)+$L$13*(1+E$38)/($B46-E$38)/(1+$B46)^10+$C$27-$C$28)/$C$30</f>
        <v/>
      </c>
      <c r="F46" s="17">
        <f>(SUMPRODUCT($C$13:$L$13,1/(1+$B46)^$C$5:$L$5)+$L$13*(1+F$38)/($B46-F$38)/(1+$B46)^10+$C$27-$C$28)/$C$30</f>
        <v/>
      </c>
      <c r="G46" s="17">
        <f>(SUMPRODUCT($C$13:$L$13,1/(1+$B46)^$C$5:$L$5)+$L$13*(1+G$38)/($B46-G$38)/(1+$B46)^10+$C$27-$C$28)/$C$30</f>
        <v/>
      </c>
    </row>
    <row r="47">
      <c r="A47" s="3" t="inlineStr">
        <is>
          <t>Value per share added if SBC were treated as non-cash in FY2027E to FY2031E only ($)</t>
        </is>
      </c>
      <c r="C47" s="17">
        <f>SUMPRODUCT(C15:G15,C17:G17)/C30</f>
        <v/>
      </c>
    </row>
    <row r="48">
      <c r="A48" s="2" t="inlineStr">
        <is>
          <t>Shows how much of a DCF value can come from one accounting choice. Not used in the base case.</t>
        </is>
      </c>
    </row>
    <row r="50">
      <c r="A50" s="3" t="inlineStr">
        <is>
          <t>MARKET-IMPLIED ASSUMPTION</t>
        </is>
      </c>
    </row>
    <row r="51">
      <c r="A51" s="2" t="inlineStr">
        <is>
          <t>Value per share today is linear in the steady-state UFCF margin: value = A + B x margin. Solving for the margin that returns the current share price.</t>
        </is>
      </c>
    </row>
    <row r="52">
      <c r="A52" s="4" t="inlineStr">
        <is>
          <t>A: value per share today with a zero steady-state margin ($)</t>
        </is>
      </c>
      <c r="C52" s="17">
        <f>(SUMPRODUCT(C13:G13,C17:G17)+SUMPRODUCT(H6:L6*(1-(H5:L5-5)/5)*H17:L17)*$G$14+C27-C28)/C30*(1+Assumptions!B40)^Assumptions!B51</f>
        <v/>
      </c>
    </row>
    <row r="53">
      <c r="A53" s="4" t="inlineStr">
        <is>
          <t>B: value per share added per 100% of steady-state margin ($)</t>
        </is>
      </c>
      <c r="C53" s="17">
        <f>(SUMPRODUCT(H6:L6*(H5:L5-5)/5*H17:L17)+L6*(1+Assumptions!B48)/(Assumptions!B47-Assumptions!B48)*L17)/C30*(1+Assumptions!B40)^Assumptions!B51</f>
        <v/>
      </c>
    </row>
    <row r="54">
      <c r="A54" s="4" t="inlineStr">
        <is>
          <t>Check: A + B x base-case margin equals the rolled-forward value above</t>
        </is>
      </c>
      <c r="C54" s="4">
        <f>IF(ABS(C52+C53*Assumptions!B49-C32)&lt;0.01,"PASS","CHECK")</f>
        <v/>
      </c>
    </row>
    <row r="55">
      <c r="A55" s="3" t="inlineStr">
        <is>
          <t>Steady-state UFCF margin implied by the current share price</t>
        </is>
      </c>
      <c r="C55" s="13">
        <f>(C33-C52)/C53</f>
        <v/>
      </c>
    </row>
    <row r="56">
      <c r="A56" s="2" t="inlineStr">
        <is>
          <t>Compare with the base case (Assumptions B49). Same WACC, terminal growth and FY2027E to FY2031E cash flows.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Reconciliation: sector report revenue projection to this model</t>
        </is>
      </c>
    </row>
    <row r="2">
      <c r="A2" s="2" t="inlineStr">
        <is>
          <t>$ millions. Each column changes one input from the column to its left. Same growth-decay method throughout; only the inputs differ.</t>
        </is>
      </c>
    </row>
    <row r="3" ht="54" customHeight="1">
      <c r="C3" s="26" t="inlineStr">
        <is>
          <t>A. Sector model as first built</t>
        </is>
      </c>
      <c r="D3" s="26" t="inlineStr">
        <is>
          <t>B. Filed FY2026 exit ARR</t>
        </is>
      </c>
      <c r="E3" s="26" t="inlineStr">
        <is>
          <t>C. k from filed ARR (corrected sector model)</t>
        </is>
      </c>
      <c r="F3" s="26" t="inlineStr">
        <is>
          <t>D. August 2026 guidance</t>
        </is>
      </c>
      <c r="G3" s="26" t="inlineStr">
        <is>
          <t>E. Revenue / ARR 1.00 from FY2028 (this model)</t>
        </is>
      </c>
    </row>
    <row r="4" ht="40" customHeight="1">
      <c r="A4" s="3" t="inlineStr">
        <is>
          <t>What changed</t>
        </is>
      </c>
      <c r="C4" s="27" t="inlineStr">
        <is>
          <t>Rounded inputs ($1,460m, k 0.77)</t>
        </is>
      </c>
      <c r="D4" s="27" t="inlineStr">
        <is>
          <t>$1,462.1m from the Q4 FY2026 release</t>
        </is>
      </c>
      <c r="E4" s="27" t="inlineStr">
        <is>
          <t>16.70pp / 22.24pp = 0.75</t>
        </is>
      </c>
      <c r="F4" s="27" t="inlineStr">
        <is>
          <t>Q2 FY2027 release: ARR $1,882.5m, revenue $1,689m</t>
        </is>
      </c>
      <c r="G4" s="27" t="inlineStr">
        <is>
          <t>Material rights treated as exhausted after FY2027</t>
        </is>
      </c>
    </row>
    <row r="6">
      <c r="A6" s="3" t="inlineStr">
        <is>
          <t>Inputs</t>
        </is>
      </c>
    </row>
    <row r="7">
      <c r="A7" s="4" t="inlineStr">
        <is>
          <t>FY2026 exit subscription ARR</t>
        </is>
      </c>
      <c r="C7" s="5" t="n">
        <v>1460</v>
      </c>
      <c r="D7" s="5" t="n">
        <v>1462.092</v>
      </c>
      <c r="E7" s="5" t="n">
        <v>1462.092</v>
      </c>
      <c r="F7" s="16">
        <f>Model!D6</f>
        <v/>
      </c>
      <c r="G7" s="16">
        <f>Model!D6</f>
        <v/>
      </c>
    </row>
    <row r="8">
      <c r="A8" s="4" t="inlineStr">
        <is>
          <t>FY2027 exit subscription ARR</t>
        </is>
      </c>
      <c r="C8" s="5" t="n">
        <v>1834</v>
      </c>
      <c r="D8" s="5" t="n">
        <v>1834</v>
      </c>
      <c r="E8" s="5" t="n">
        <v>1834</v>
      </c>
      <c r="F8" s="16">
        <f>Assumptions!B6</f>
        <v/>
      </c>
      <c r="G8" s="16">
        <f>Assumptions!B6</f>
        <v/>
      </c>
    </row>
    <row r="9">
      <c r="A9" s="4" t="inlineStr">
        <is>
          <t>FY2027 revenue</t>
        </is>
      </c>
      <c r="C9" s="5" t="n">
        <v>1602</v>
      </c>
      <c r="D9" s="5" t="n">
        <v>1602</v>
      </c>
      <c r="E9" s="5" t="n">
        <v>1602</v>
      </c>
      <c r="F9" s="16">
        <f>Assumptions!B7</f>
        <v/>
      </c>
      <c r="G9" s="16">
        <f>Assumptions!B7</f>
        <v/>
      </c>
    </row>
    <row r="10">
      <c r="A10" s="4" t="inlineStr">
        <is>
          <t>Decay factor k</t>
        </is>
      </c>
      <c r="C10" s="28" t="n">
        <v>0.77</v>
      </c>
      <c r="D10" s="28" t="n">
        <v>0.77</v>
      </c>
      <c r="E10" s="28" t="n">
        <v>0.75</v>
      </c>
      <c r="F10" s="18">
        <f>Assumptions!B9</f>
        <v/>
      </c>
      <c r="G10" s="18">
        <f>Assumptions!B9</f>
        <v/>
      </c>
    </row>
    <row r="11">
      <c r="A11" s="4" t="inlineStr">
        <is>
          <t>Revenue / average ARR, FY2028 onward</t>
        </is>
      </c>
      <c r="C11" s="28" t="n">
        <v>0.97</v>
      </c>
      <c r="D11" s="28" t="n">
        <v>0.97</v>
      </c>
      <c r="E11" s="28" t="n">
        <v>0.97</v>
      </c>
      <c r="F11" s="28" t="n">
        <v>0.97</v>
      </c>
      <c r="G11" s="18">
        <f>Assumptions!B10</f>
        <v/>
      </c>
    </row>
    <row r="12">
      <c r="A12" s="4" t="inlineStr">
        <is>
          <t>Market growth (decay floor)</t>
        </is>
      </c>
      <c r="C12" s="24">
        <f>Assumptions!B8</f>
        <v/>
      </c>
      <c r="D12" s="24">
        <f>Assumptions!B8</f>
        <v/>
      </c>
      <c r="E12" s="24">
        <f>Assumptions!B8</f>
        <v/>
      </c>
      <c r="F12" s="24">
        <f>Assumptions!B8</f>
        <v/>
      </c>
      <c r="G12" s="24">
        <f>Assumptions!B8</f>
        <v/>
      </c>
    </row>
    <row r="14">
      <c r="A14" s="3" t="inlineStr">
        <is>
          <t>Projection</t>
        </is>
      </c>
    </row>
    <row r="15">
      <c r="A15" s="4" t="inlineStr">
        <is>
          <t>FY2027 ARR growth</t>
        </is>
      </c>
      <c r="C15" s="13">
        <f>C8/C7-1</f>
        <v/>
      </c>
      <c r="D15" s="13">
        <f>D8/D7-1</f>
        <v/>
      </c>
      <c r="E15" s="13">
        <f>E8/E7-1</f>
        <v/>
      </c>
      <c r="F15" s="13">
        <f>F8/F7-1</f>
        <v/>
      </c>
      <c r="G15" s="13">
        <f>G8/G7-1</f>
        <v/>
      </c>
    </row>
    <row r="16">
      <c r="A16" s="4" t="inlineStr">
        <is>
          <t>FY2028 ARR growth</t>
        </is>
      </c>
      <c r="C16" s="13">
        <f>C12+(C15-C12)*C10</f>
        <v/>
      </c>
      <c r="D16" s="13">
        <f>D12+(D15-D12)*D10</f>
        <v/>
      </c>
      <c r="E16" s="13">
        <f>E12+(E15-E12)*E10</f>
        <v/>
      </c>
      <c r="F16" s="13">
        <f>F12+(F15-F12)*F10</f>
        <v/>
      </c>
      <c r="G16" s="13">
        <f>G12+(G15-G12)*G10</f>
        <v/>
      </c>
    </row>
    <row r="17">
      <c r="A17" s="4" t="inlineStr">
        <is>
          <t>FY2029 ARR growth</t>
        </is>
      </c>
      <c r="C17" s="13">
        <f>C12+(C15-C12)*C10^2</f>
        <v/>
      </c>
      <c r="D17" s="13">
        <f>D12+(D15-D12)*D10^2</f>
        <v/>
      </c>
      <c r="E17" s="13">
        <f>E12+(E15-E12)*E10^2</f>
        <v/>
      </c>
      <c r="F17" s="13">
        <f>F12+(F15-F12)*F10^2</f>
        <v/>
      </c>
      <c r="G17" s="13">
        <f>G12+(G15-G12)*G10^2</f>
        <v/>
      </c>
    </row>
    <row r="18">
      <c r="A18" s="4" t="inlineStr">
        <is>
          <t>FY2030 ARR growth</t>
        </is>
      </c>
      <c r="C18" s="13">
        <f>C12+(C15-C12)*C10^3</f>
        <v/>
      </c>
      <c r="D18" s="13">
        <f>D12+(D15-D12)*D10^3</f>
        <v/>
      </c>
      <c r="E18" s="13">
        <f>E12+(E15-E12)*E10^3</f>
        <v/>
      </c>
      <c r="F18" s="13">
        <f>F12+(F15-F12)*F10^3</f>
        <v/>
      </c>
      <c r="G18" s="13">
        <f>G12+(G15-G12)*G10^3</f>
        <v/>
      </c>
    </row>
    <row r="19">
      <c r="A19" s="4" t="inlineStr">
        <is>
          <t>FY2028 exit ARR</t>
        </is>
      </c>
      <c r="C19" s="14">
        <f>C8*(1+C16)</f>
        <v/>
      </c>
      <c r="D19" s="14">
        <f>D8*(1+D16)</f>
        <v/>
      </c>
      <c r="E19" s="14">
        <f>E8*(1+E16)</f>
        <v/>
      </c>
      <c r="F19" s="14">
        <f>F8*(1+F16)</f>
        <v/>
      </c>
      <c r="G19" s="14">
        <f>G8*(1+G16)</f>
        <v/>
      </c>
    </row>
    <row r="20">
      <c r="A20" s="4" t="inlineStr">
        <is>
          <t>FY2029 exit ARR</t>
        </is>
      </c>
      <c r="C20" s="14">
        <f>C19*(1+C17)</f>
        <v/>
      </c>
      <c r="D20" s="14">
        <f>D19*(1+D17)</f>
        <v/>
      </c>
      <c r="E20" s="14">
        <f>E19*(1+E17)</f>
        <v/>
      </c>
      <c r="F20" s="14">
        <f>F19*(1+F17)</f>
        <v/>
      </c>
      <c r="G20" s="14">
        <f>G19*(1+G17)</f>
        <v/>
      </c>
    </row>
    <row r="21">
      <c r="A21" s="4" t="inlineStr">
        <is>
          <t>FY2030 exit ARR</t>
        </is>
      </c>
      <c r="C21" s="14">
        <f>C20*(1+C18)</f>
        <v/>
      </c>
      <c r="D21" s="14">
        <f>D20*(1+D18)</f>
        <v/>
      </c>
      <c r="E21" s="14">
        <f>E20*(1+E18)</f>
        <v/>
      </c>
      <c r="F21" s="14">
        <f>F20*(1+F18)</f>
        <v/>
      </c>
      <c r="G21" s="14">
        <f>G20*(1+G18)</f>
        <v/>
      </c>
    </row>
    <row r="22">
      <c r="A22" s="4" t="inlineStr">
        <is>
          <t>FY2028 revenue</t>
        </is>
      </c>
      <c r="C22" s="14">
        <f>C11*(C8+C19)/2</f>
        <v/>
      </c>
      <c r="D22" s="14">
        <f>D11*(D8+D19)/2</f>
        <v/>
      </c>
      <c r="E22" s="14">
        <f>E11*(E8+E19)/2</f>
        <v/>
      </c>
      <c r="F22" s="14">
        <f>F11*(F8+F19)/2</f>
        <v/>
      </c>
      <c r="G22" s="14">
        <f>G11*(G8+G19)/2</f>
        <v/>
      </c>
    </row>
    <row r="23">
      <c r="A23" s="4" t="inlineStr">
        <is>
          <t>FY2029 revenue</t>
        </is>
      </c>
      <c r="C23" s="14">
        <f>C11*(C19+C20)/2</f>
        <v/>
      </c>
      <c r="D23" s="14">
        <f>D11*(D19+D20)/2</f>
        <v/>
      </c>
      <c r="E23" s="14">
        <f>E11*(E19+E20)/2</f>
        <v/>
      </c>
      <c r="F23" s="14">
        <f>F11*(F19+F20)/2</f>
        <v/>
      </c>
      <c r="G23" s="14">
        <f>G11*(G19+G20)/2</f>
        <v/>
      </c>
    </row>
    <row r="24">
      <c r="A24" s="3" t="inlineStr">
        <is>
          <t>FY2030 revenue</t>
        </is>
      </c>
      <c r="C24" s="14">
        <f>C11*(C20+C21)/2</f>
        <v/>
      </c>
      <c r="D24" s="14">
        <f>D11*(D20+D21)/2</f>
        <v/>
      </c>
      <c r="E24" s="14">
        <f>E11*(E20+E21)/2</f>
        <v/>
      </c>
      <c r="F24" s="14">
        <f>F11*(F20+F21)/2</f>
        <v/>
      </c>
      <c r="G24" s="14">
        <f>G11*(G20+G21)/2</f>
        <v/>
      </c>
    </row>
    <row r="25">
      <c r="A25" s="3" t="inlineStr">
        <is>
          <t>Three-year revenue CAGR, FY2027 to FY2030</t>
        </is>
      </c>
      <c r="C25" s="13">
        <f>(C24/C9)^(1/3)-1</f>
        <v/>
      </c>
      <c r="D25" s="13">
        <f>(D24/D9)^(1/3)-1</f>
        <v/>
      </c>
      <c r="E25" s="13">
        <f>(E24/E9)^(1/3)-1</f>
        <v/>
      </c>
      <c r="F25" s="13">
        <f>(F24/F9)^(1/3)-1</f>
        <v/>
      </c>
      <c r="G25" s="13">
        <f>(G24/G9)^(1/3)-1</f>
        <v/>
      </c>
    </row>
    <row r="27">
      <c r="A27" s="3" t="inlineStr">
        <is>
          <t>Change from previous column</t>
        </is>
      </c>
    </row>
    <row r="28">
      <c r="A28" s="4" t="inlineStr">
        <is>
          <t>FY2030 revenue ($m)</t>
        </is>
      </c>
      <c r="D28" s="14">
        <f>D24-C24</f>
        <v/>
      </c>
      <c r="E28" s="14">
        <f>E24-D24</f>
        <v/>
      </c>
      <c r="F28" s="14">
        <f>F24-E24</f>
        <v/>
      </c>
      <c r="G28" s="14">
        <f>G24-F24</f>
        <v/>
      </c>
    </row>
    <row r="29">
      <c r="A29" s="4" t="inlineStr">
        <is>
          <t>Three-year CAGR (percentage points)</t>
        </is>
      </c>
      <c r="D29" s="17">
        <f>(D25-C25)*100</f>
        <v/>
      </c>
      <c r="E29" s="17">
        <f>(E25-D25)*100</f>
        <v/>
      </c>
      <c r="F29" s="17">
        <f>(F25-E25)*100</f>
        <v/>
      </c>
      <c r="G29" s="17">
        <f>(G25-F25)*100</f>
        <v/>
      </c>
    </row>
    <row r="31">
      <c r="A31" s="3" t="inlineStr">
        <is>
          <t>Ties</t>
        </is>
      </c>
    </row>
    <row r="32">
      <c r="A32" s="4" t="inlineStr">
        <is>
          <t>Scenario C equals revenue-projection-model.xlsx, Rubrik!E8</t>
        </is>
      </c>
      <c r="B32" s="5" t="n">
        <v>2948.555</v>
      </c>
      <c r="C32" s="4">
        <f>IF(ABS(E24-B32)&lt;0.01,"PASS","CHECK")</f>
        <v/>
      </c>
    </row>
    <row r="33">
      <c r="A33" s="4" t="inlineStr">
        <is>
          <t>Scenario E equals Model FY2030E revenue</t>
        </is>
      </c>
      <c r="B33" s="16">
        <f>Model!H12</f>
        <v/>
      </c>
      <c r="C33" s="4">
        <f>IF(ABS(G24-B33)&lt;0.01,"PASS","CHECK")</f>
        <v/>
      </c>
    </row>
    <row r="35">
      <c r="A35" s="2" t="inlineStr">
        <is>
          <t>The submitted sector report PDF shows FY2028 to FY2030 revenue of 1,996 / 2,451 / 2,978 and a 22.9% CAGR. They match the unrounded FY2027 ratio (about 0.973) to within $1m, although the report states 0.97. Scenario A is the spreadsheet as first built.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Integrity and validation checks</t>
        </is>
      </c>
    </row>
    <row r="3">
      <c r="A3" s="3" t="inlineStr">
        <is>
          <t>Check</t>
        </is>
      </c>
      <c r="B3" s="3" t="inlineStr">
        <is>
          <t>Model value</t>
        </is>
      </c>
      <c r="C3" s="3" t="inlineStr">
        <is>
          <t>Target</t>
        </is>
      </c>
      <c r="D3" s="3" t="inlineStr">
        <is>
          <t>Result</t>
        </is>
      </c>
    </row>
    <row r="4">
      <c r="A4" s="4" t="inlineStr">
        <is>
          <t>Balance sheet balances, all years (max absolute difference)</t>
        </is>
      </c>
      <c r="B4" s="29">
        <f>MAX(ABS(Model!C62),ABS(Model!D62),ABS(Model!E62),ABS(Model!F62),ABS(Model!G62),ABS(Model!H62),ABS(Model!I62))</f>
        <v/>
      </c>
      <c r="C4" s="30" t="n">
        <v>0</v>
      </c>
      <c r="D4" s="4">
        <f>IF(B4&lt;0.001,"PASS","CHECK")</f>
        <v/>
      </c>
    </row>
    <row r="5">
      <c r="A5" s="4" t="inlineStr">
        <is>
          <t>FY2026 net income ties to 10-K</t>
        </is>
      </c>
      <c r="B5" s="16">
        <f>Model!D28</f>
        <v/>
      </c>
      <c r="C5" s="5" t="n">
        <v>-348.828</v>
      </c>
      <c r="D5" s="4">
        <f>IF(ABS(B5-C5)&lt;0.001,"PASS","CHECK")</f>
        <v/>
      </c>
    </row>
    <row r="6">
      <c r="A6" s="4" t="inlineStr">
        <is>
          <t>FY2026 cash from operations ties to 10-K</t>
        </is>
      </c>
      <c r="B6" s="16">
        <f>Model!D76</f>
        <v/>
      </c>
      <c r="C6" s="5" t="n">
        <v>282.908</v>
      </c>
      <c r="D6" s="4">
        <f>IF(ABS(B6-C6)&lt;0.001,"PASS","CHECK")</f>
        <v/>
      </c>
    </row>
    <row r="7">
      <c r="A7" s="4" t="inlineStr">
        <is>
          <t>FY2026 free cash flow ties to earnings release</t>
        </is>
      </c>
      <c r="B7" s="16">
        <f>Model!D90</f>
        <v/>
      </c>
      <c r="C7" s="5" t="n">
        <v>237.84</v>
      </c>
      <c r="D7" s="4">
        <f>IF(ABS(B7-C7)&lt;0.001,"PASS","CHECK")</f>
        <v/>
      </c>
    </row>
    <row r="8">
      <c r="A8" s="4" t="inlineStr">
        <is>
          <t>FY2026 total assets ties to 10-K</t>
        </is>
      </c>
      <c r="B8" s="16">
        <f>Model!D44</f>
        <v/>
      </c>
      <c r="C8" s="5" t="n">
        <v>2766.536</v>
      </c>
      <c r="D8" s="4">
        <f>IF(ABS(B8-C8)&lt;0.001,"PASS","CHECK")</f>
        <v/>
      </c>
    </row>
    <row r="9">
      <c r="A9" s="4" t="inlineStr">
        <is>
          <t>FY2026 closing cash incl. restricted ties to 10-K</t>
        </is>
      </c>
      <c r="B9" s="16">
        <f>Model!D87</f>
        <v/>
      </c>
      <c r="C9" s="5" t="n">
        <v>392.74</v>
      </c>
      <c r="D9" s="4">
        <f>IF(ABS(B9-C9)&lt;0.001,"PASS","CHECK")</f>
        <v/>
      </c>
    </row>
    <row r="10">
      <c r="A10" s="4" t="inlineStr">
        <is>
          <t>FY2027 revenue equals guidance midpoint</t>
        </is>
      </c>
      <c r="B10" s="16">
        <f>Model!E12</f>
        <v/>
      </c>
      <c r="C10" s="5" t="n">
        <v>1689</v>
      </c>
      <c r="D10" s="4">
        <f>IF(ABS(B10-C10)&lt;0.001,"PASS","CHECK")</f>
        <v/>
      </c>
    </row>
    <row r="11">
      <c r="A11" s="4" t="inlineStr">
        <is>
          <t>FY2027 exit ARR equals guidance midpoint</t>
        </is>
      </c>
      <c r="B11" s="16">
        <f>Model!E6</f>
        <v/>
      </c>
      <c r="C11" s="5" t="n">
        <v>1882.5</v>
      </c>
      <c r="D11" s="4">
        <f>IF(ABS(B11-C11)&lt;0.001,"PASS","CHECK")</f>
        <v/>
      </c>
    </row>
    <row r="12">
      <c r="A12" s="4" t="inlineStr">
        <is>
          <t>FY2027 free cash flow within guidance ($323m to $333m)</t>
        </is>
      </c>
      <c r="B12" s="16">
        <f>Model!E90</f>
        <v/>
      </c>
      <c r="C12" s="12" t="inlineStr">
        <is>
          <t>323 to 333</t>
        </is>
      </c>
      <c r="D12" s="4">
        <f>IF(AND(B12&gt;=323,B12&lt;=333),"IN RANGE","OUTSIDE")</f>
        <v/>
      </c>
    </row>
    <row r="13">
      <c r="A13" s="4" t="inlineStr">
        <is>
          <t>Terminal growth below WACC</t>
        </is>
      </c>
      <c r="B13" s="24">
        <f>Assumptions!B48</f>
        <v/>
      </c>
      <c r="C13" s="24">
        <f>Assumptions!B47</f>
        <v/>
      </c>
      <c r="D13" s="4">
        <f>IF(B13&lt;C13,"PASS","FAIL")</f>
        <v/>
      </c>
    </row>
    <row r="14">
      <c r="A14" s="4" t="inlineStr">
        <is>
          <t>Reconciliation bridge ends at Model FY2030E revenue</t>
        </is>
      </c>
      <c r="B14" s="16">
        <f>Reconciliation!G24</f>
        <v/>
      </c>
      <c r="C14" s="16">
        <f>Model!H12</f>
        <v/>
      </c>
      <c r="D14" s="4">
        <f>IF(ABS(B14-C14)&lt;0.001,"PASS","CHECK")</f>
        <v/>
      </c>
    </row>
    <row r="15">
      <c r="A15" s="3" t="inlineStr">
        <is>
          <t>Context (not pass/fail)</t>
        </is>
      </c>
    </row>
    <row r="16">
      <c r="A16" s="4" t="inlineStr">
        <is>
          <t>FY2027E operating margin vs H1 FY2027 actual</t>
        </is>
      </c>
      <c r="B16" s="24">
        <f>Model!E22</f>
        <v/>
      </c>
      <c r="C16" s="11" t="n">
        <v>-0.1529</v>
      </c>
      <c r="D16" s="2" t="inlineStr">
        <is>
          <t>H1 FY2027: operating loss $124.5m on revenue $814.3m</t>
        </is>
      </c>
    </row>
    <row r="17">
      <c r="A17" s="2" t="inlineStr">
        <is>
          <t>Note: the FY2027 deferred revenue ratio is set so modelled FCF matches the guidance midpoint. Row 12 is a calibration, not an independent test.</t>
        </is>
      </c>
    </row>
    <row r="19">
      <c r="A19" s="3" t="inlineStr">
        <is>
          <t>BACKTEST: would holding FY2025 working-capital ratios have predicted FY2026 cash flow?</t>
        </is>
      </c>
    </row>
    <row r="20">
      <c r="A20" s="2" t="inlineStr">
        <is>
          <t>Uses actual FY2026 revenue and FY2025 balance-sheet ratios; compares the implied working-capital cash effect with what Rubrik reported.</t>
        </is>
      </c>
    </row>
    <row r="21">
      <c r="A21" s="4" t="inlineStr">
        <is>
          <t>FY2025 receivables / revenue</t>
        </is>
      </c>
      <c r="B21" s="24">
        <f>Model!C36/Model!C12</f>
        <v/>
      </c>
    </row>
    <row r="22">
      <c r="A22" s="4" t="inlineStr">
        <is>
          <t>FY2025 deferred commissions / revenue</t>
        </is>
      </c>
      <c r="B22" s="24">
        <f>(Model!C37+Model!C41)/Model!C12</f>
        <v/>
      </c>
    </row>
    <row r="23">
      <c r="A23" s="4" t="inlineStr">
        <is>
          <t>FY2025 prepaid / revenue</t>
        </is>
      </c>
      <c r="B23" s="24">
        <f>Model!C38/Model!C12</f>
        <v/>
      </c>
    </row>
    <row r="24">
      <c r="A24" s="4" t="inlineStr">
        <is>
          <t>FY2025 payables / revenue</t>
        </is>
      </c>
      <c r="B24" s="24">
        <f>Model!C46/Model!C12</f>
        <v/>
      </c>
    </row>
    <row r="25">
      <c r="A25" s="4" t="inlineStr">
        <is>
          <t>FY2025 accrued / revenue</t>
        </is>
      </c>
      <c r="B25" s="24">
        <f>Model!C47/Model!C12</f>
        <v/>
      </c>
    </row>
    <row r="26">
      <c r="A26" s="4" t="inlineStr">
        <is>
          <t>FY2025 deferred revenue / revenue</t>
        </is>
      </c>
      <c r="B26" s="24">
        <f>(Model!C48+Model!C50)/Model!C12</f>
        <v/>
      </c>
    </row>
    <row r="27">
      <c r="A27" s="4" t="inlineStr">
        <is>
          <t>Predicted FY2026 working-capital cash effect</t>
        </is>
      </c>
      <c r="B27" s="14">
        <f>-(B21*Model!D12-Model!C36)-(B22*Model!D12-(Model!C37+Model!C41))-(B23*Model!D12-Model!C38)+(B24*Model!D12-Model!C46)+(B25*Model!D12-Model!C47)+(B26*Model!D12-(Model!C48+Model!C50))</f>
        <v/>
      </c>
    </row>
    <row r="28">
      <c r="A28" s="4" t="inlineStr">
        <is>
          <t>Actual FY2026 working-capital cash effect</t>
        </is>
      </c>
      <c r="B28" s="16">
        <f>SUM(Model!D70:D75)</f>
        <v/>
      </c>
    </row>
    <row r="29">
      <c r="A29" s="3" t="inlineStr">
        <is>
          <t>Prediction error (predicted minus actual)</t>
        </is>
      </c>
      <c r="B29" s="14">
        <f>B27-B28</f>
        <v/>
      </c>
    </row>
    <row r="30">
      <c r="A30" s="4" t="inlineStr">
        <is>
          <t xml:space="preserve">  of which: deferred revenue</t>
        </is>
      </c>
      <c r="B30" s="14">
        <f>(B26*Model!D12-(Model!C48+Model!C50))-Model!D75</f>
        <v/>
      </c>
    </row>
    <row r="31">
      <c r="A31" s="2" t="inlineStr">
        <is>
          <t>Holding the deferred revenue ratio flat would have overstated FY2026 operating cash flow by most of the error above. The ratio fell from 160% to 140%, so the projection steps it down rather than holding it.</t>
        </is>
      </c>
    </row>
    <row r="33">
      <c r="A33" s="3" t="inlineStr">
        <is>
          <t>DCF market-implied margin solve reproduces the base value</t>
        </is>
      </c>
      <c r="D33" s="31">
        <f>DCF!C54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2026-10-14T17:30:20Z</dcterms:created>
  <dcterms:modified xsi:type="dcterms:W3CDTF">2026-10-14T17:30:20Z</dcterms:modified>
</cp:coreProperties>
</file>