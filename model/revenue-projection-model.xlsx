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Assumptions" sheetId="2" state="visible" r:id="rId4"/>
    <sheet name="Rubrik" sheetId="3" state="visible" r:id="rId5"/>
    <sheet name="Varonis" sheetId="4" state="visible" r:id="rId6"/>
    <sheet name="Commvaul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<sst xmlns="http://schemas.openxmlformats.org/spreadsheetml/2006/main" count="136" uniqueCount="91">
  <si>
    <t xml:space="preserve">Three-year revenue CAGR - summary</t>
  </si>
  <si>
    <t xml:space="preserve">Company</t>
  </si>
  <si>
    <t xml:space="preserve">Projection period</t>
  </si>
  <si>
    <t xml:space="preserve">3-year revenue CAGR</t>
  </si>
  <si>
    <t xml:space="preserve">Basis</t>
  </si>
  <si>
    <t xml:space="preserve">Rubrik</t>
  </si>
  <si>
    <t xml:space="preserve">FY2027-FY2030</t>
  </si>
  <si>
    <t xml:space="preserve">ARR growth-decay model, converted to revenue</t>
  </si>
  <si>
    <t xml:space="preserve">Varonis</t>
  </si>
  <si>
    <t xml:space="preserve">FY2026-FY2029</t>
  </si>
  <si>
    <t xml:space="preserve">Revenue growth-decay model</t>
  </si>
  <si>
    <t xml:space="preserve">Commvault</t>
  </si>
  <si>
    <t xml:space="preserve">Flat guided growth</t>
  </si>
  <si>
    <t xml:space="preserve">Fiscal years differ across companies; periods are not calendar-aligned.</t>
  </si>
  <si>
    <t xml:space="preserve">Academic exercise. Not investment advice. Figures sourced from public filings as of August 2026; revised October 2026.</t>
  </si>
  <si>
    <t xml:space="preserve">Data Security Sector - Revenue Projection Model</t>
  </si>
  <si>
    <t xml:space="preserve">All figures USD millions. Blue = input. Black = formula.</t>
  </si>
  <si>
    <t xml:space="preserve">Shared assumptions</t>
  </si>
  <si>
    <t xml:space="preserve">Terminal growth rate</t>
  </si>
  <si>
    <t xml:space="preserve">Mordor Intelligence data security market CAGR (CY2026-CY2031); flat-share assumption</t>
  </si>
  <si>
    <t xml:space="preserve">Decay factor (k)</t>
  </si>
  <si>
    <t xml:space="preserve">Rubrik filed exit subscription ARR, FY2024 to FY2026 (rows 30 to 38): 16.70pp / 22.24pp = 0.751</t>
  </si>
  <si>
    <t xml:space="preserve">Company inputs</t>
  </si>
  <si>
    <t xml:space="preserve">FY2026 exit subscription ARR</t>
  </si>
  <si>
    <t xml:space="preserve">Q4 FY2026 earnings release: $1,462,092k</t>
  </si>
  <si>
    <t xml:space="preserve">FY2026 revenue</t>
  </si>
  <si>
    <t xml:space="preserve">FY2026 10-K income statement: $1,316,191k</t>
  </si>
  <si>
    <t xml:space="preserve">FY2027 exit subscription ARR (guidance midpoint)</t>
  </si>
  <si>
    <t xml:space="preserve">Q4 FY2026 earnings release, $1,829-1,839m</t>
  </si>
  <si>
    <t xml:space="preserve">FY2027 revenue (guidance midpoint)</t>
  </si>
  <si>
    <t xml:space="preserve">Q4 FY2026 earnings release, $1,597-1,607m</t>
  </si>
  <si>
    <t xml:space="preserve">Revenue / average-ARR ratio</t>
  </si>
  <si>
    <t xml:space="preserve">Calibrated to FY2027 guidance (row 39)</t>
  </si>
  <si>
    <t xml:space="preserve">FY2024 revenue</t>
  </si>
  <si>
    <t xml:space="preserve">FY2025 10-K: $550,950k</t>
  </si>
  <si>
    <t xml:space="preserve">FY2025 revenue</t>
  </si>
  <si>
    <t xml:space="preserve">FY2025 10-K: $623,532k</t>
  </si>
  <si>
    <t xml:space="preserve">FY2026 revenue (guidance midpoint)</t>
  </si>
  <si>
    <t xml:space="preserve">Q2 2026 earnings release, $735-739m</t>
  </si>
  <si>
    <t xml:space="preserve">FY2026 base growth (SaaS ARR ex-conversions)</t>
  </si>
  <si>
    <t xml:space="preserve">Q2 2026 earnings release, guided 20-21%</t>
  </si>
  <si>
    <t xml:space="preserve">Q4 FY2024 earnings release: $839,247k</t>
  </si>
  <si>
    <t xml:space="preserve">Q4 FY2026 earnings release: $995,619k</t>
  </si>
  <si>
    <t xml:space="preserve">Q4 FY2026 earnings release: $1,183,690k</t>
  </si>
  <si>
    <t xml:space="preserve">Q4 FY2026 earnings release, $1,300-1,310m</t>
  </si>
  <si>
    <t xml:space="preserve">Rubrik history (decay factor and ratio derivation)</t>
  </si>
  <si>
    <t xml:space="preserve">FY2024 exit subscription ARR</t>
  </si>
  <si>
    <t xml:space="preserve">Q4 FY2025 earnings release (8-K Ex. 99.1): $784,029k</t>
  </si>
  <si>
    <t xml:space="preserve">FY2025 exit subscription ARR</t>
  </si>
  <si>
    <t xml:space="preserve">Q4 FY2026 earnings release: $1,092,584k</t>
  </si>
  <si>
    <t xml:space="preserve">FY2026 10-K income statement: $886,544k</t>
  </si>
  <si>
    <t xml:space="preserve">FY2025 subscription ARR growth</t>
  </si>
  <si>
    <t xml:space="preserve">FY2026 subscription ARR growth</t>
  </si>
  <si>
    <t xml:space="preserve">FY2026 revenue growth</t>
  </si>
  <si>
    <t xml:space="preserve">Inflated by material rights</t>
  </si>
  <si>
    <t xml:space="preserve">FY2025 gap above terminal growth</t>
  </si>
  <si>
    <t xml:space="preserve">FY2026 gap above terminal growth</t>
  </si>
  <si>
    <t xml:space="preserve">Decay factor, unrounded (FY2026 gap / FY2025 gap)</t>
  </si>
  <si>
    <t xml:space="preserve">B6 rounds this to two decimals</t>
  </si>
  <si>
    <t xml:space="preserve">FY2027 revenue / average FY2027 ARR, unrounded</t>
  </si>
  <si>
    <t xml:space="preserve">B15 rounds this to two decimals</t>
  </si>
  <si>
    <t xml:space="preserve">Method</t>
  </si>
  <si>
    <t xml:space="preserve">ARR growth in year t  =  terminal + (base growth - terminal) x k^t</t>
  </si>
  <si>
    <t xml:space="preserve">Revenue (Rubrik)  =  ratio x (opening ARR + closing ARR) / 2</t>
  </si>
  <si>
    <t xml:space="preserve">Commvault: growth held flat, as guided growth is already below the terminal rate</t>
  </si>
  <si>
    <t xml:space="preserve">Rubrik (NASDAQ: RBRK) - fiscal year ends 31 January</t>
  </si>
  <si>
    <t xml:space="preserve">FY</t>
  </si>
  <si>
    <t xml:space="preserve">Exit subscription ARR</t>
  </si>
  <si>
    <t xml:space="preserve">ARR growth</t>
  </si>
  <si>
    <t xml:space="preserve">Revenue</t>
  </si>
  <si>
    <t xml:space="preserve">Revenue growth</t>
  </si>
  <si>
    <t xml:space="preserve">FY26</t>
  </si>
  <si>
    <t xml:space="preserve">Reported</t>
  </si>
  <si>
    <t xml:space="preserve">FY27</t>
  </si>
  <si>
    <t xml:space="preserve">Company guidance</t>
  </si>
  <si>
    <t xml:space="preserve">FY28</t>
  </si>
  <si>
    <t xml:space="preserve">Projected</t>
  </si>
  <si>
    <t xml:space="preserve">FY29</t>
  </si>
  <si>
    <t xml:space="preserve">FY30</t>
  </si>
  <si>
    <t xml:space="preserve">3-year revenue CAGR (FY27-FY30)</t>
  </si>
  <si>
    <t xml:space="preserve">Benchmark - FY30 exit ARR</t>
  </si>
  <si>
    <t xml:space="preserve">Constant FY26 growth held</t>
  </si>
  <si>
    <t xml:space="preserve">Constant FY27 growth held</t>
  </si>
  <si>
    <t xml:space="preserve">This model</t>
  </si>
  <si>
    <t xml:space="preserve">Market growth only, flat share</t>
  </si>
  <si>
    <t xml:space="preserve">Varonis (NASDAQ: VRNS) - fiscal year ends 31 December</t>
  </si>
  <si>
    <t xml:space="preserve">FY24</t>
  </si>
  <si>
    <t xml:space="preserve">FY25</t>
  </si>
  <si>
    <t xml:space="preserve">3-year revenue CAGR (FY2026-FY2029)</t>
  </si>
  <si>
    <t xml:space="preserve">Commvault (NASDAQ: CVLT) - fiscal year ends 31 March</t>
  </si>
  <si>
    <t xml:space="preserve">Growth held flat, guided FY27 growth is below the terminal market rate, so the decay framework does not apply.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</si>
</sst>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0.00"/>
    <numFmt numFmtId="167" formatCode="\$#,##0.000;&quot;($&quot;#,##0.000\);\-"/>
    <numFmt numFmtId="168" formatCode="\$#,##0;&quot;($&quot;#,##0\);\-"/>
    <numFmt numFmtId="169" formatCode="\$#,##0.00;&quot;($&quot;#,##0.00\);\-"/>
    <numFmt numFmtId="170" formatCode="0.00%;\(0.00%\);\-"/>
    <numFmt numFmtId="171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2"/>
    <col collapsed="false" customWidth="true" hidden="false" outlineLevel="0" max="4" min="4" style="1" width="48"/>
    <col collapsed="false" customWidth="false" hidden="false" outlineLevel="0" max="16384" min="5" style="1" width="8.67"/>
  </cols>
  <sheetData>
    <row r="1" customFormat="false" ht="1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5</v>
      </c>
      <c r="B4" s="4" t="s">
        <v>6</v>
      </c>
      <c r="C4" s="5" t="n">
        <f aca="false">Rubrik!C10</f>
        <v>0.225506367312227</v>
      </c>
      <c r="D4" s="6" t="s">
        <v>7</v>
      </c>
    </row>
    <row r="5" customFormat="false" ht="15" hidden="false" customHeight="true" outlineLevel="0" collapsed="false">
      <c r="A5" s="4" t="s">
        <v>8</v>
      </c>
      <c r="B5" s="4" t="s">
        <v>9</v>
      </c>
      <c r="C5" s="5" t="n">
        <f aca="false">Varonis!C11</f>
        <v>0.190731961961636</v>
      </c>
      <c r="D5" s="6" t="s">
        <v>10</v>
      </c>
    </row>
    <row r="6" customFormat="false" ht="15" hidden="false" customHeight="true" outlineLevel="0" collapsed="false">
      <c r="A6" s="4" t="s">
        <v>11</v>
      </c>
      <c r="B6" s="4" t="s">
        <v>6</v>
      </c>
      <c r="C6" s="5" t="n">
        <f aca="false">Commvault!C12</f>
        <v>0.102484603232265</v>
      </c>
      <c r="D6" s="6" t="s">
        <v>12</v>
      </c>
    </row>
    <row r="8" customFormat="false" ht="15" hidden="false" customHeight="true" outlineLevel="0" collapsed="false">
      <c r="A8" s="7" t="s">
        <v>13</v>
      </c>
      <c r="B8" s="7"/>
      <c r="C8" s="7"/>
    </row>
    <row r="10" customFormat="false" ht="15" hidden="false" customHeight="true" outlineLevel="0" collapsed="false">
      <c r="A10" s="7" t="s">
        <v>14</v>
      </c>
      <c r="B10" s="7"/>
      <c r="C10" s="7"/>
      <c r="D10" s="7"/>
    </row>
  </sheetData>
  <mergeCells count="3">
    <mergeCell ref="A1:D1"/>
    <mergeCell ref="A8:C8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B19" activeCellId="0" sqref="B1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9.56"/>
    <col collapsed="false" customWidth="true" hidden="false" outlineLevel="0" max="2" min="2" style="1" width="14"/>
    <col collapsed="false" customWidth="true" hidden="false" outlineLevel="0" max="3" min="3" style="1" width="70"/>
    <col collapsed="false" customWidth="false" hidden="false" outlineLevel="0" max="16384" min="4" style="1" width="8.67"/>
  </cols>
  <sheetData>
    <row r="1" customFormat="false" ht="15" hidden="false" customHeight="true" outlineLevel="0" collapsed="false">
      <c r="A1" s="2" t="s">
        <v>15</v>
      </c>
      <c r="B1" s="2"/>
    </row>
    <row r="2" customFormat="false" ht="15" hidden="false" customHeight="true" outlineLevel="0" collapsed="false">
      <c r="A2" s="8" t="s">
        <v>16</v>
      </c>
    </row>
    <row r="4" customFormat="false" ht="15" hidden="false" customHeight="true" outlineLevel="0" collapsed="false">
      <c r="A4" s="9" t="s">
        <v>17</v>
      </c>
    </row>
    <row r="5" customFormat="false" ht="15" hidden="false" customHeight="true" outlineLevel="0" collapsed="false">
      <c r="A5" s="10" t="s">
        <v>18</v>
      </c>
      <c r="B5" s="11" t="n">
        <v>0.1712</v>
      </c>
      <c r="C5" s="8" t="s">
        <v>19</v>
      </c>
    </row>
    <row r="6" customFormat="false" ht="15" hidden="false" customHeight="true" outlineLevel="0" collapsed="false">
      <c r="A6" s="10" t="s">
        <v>20</v>
      </c>
      <c r="B6" s="12" t="n">
        <f aca="false">ROUND(B38,2)</f>
        <v>0.75</v>
      </c>
      <c r="C6" s="8" t="s">
        <v>21</v>
      </c>
    </row>
    <row r="9" customFormat="false" ht="15" hidden="false" customHeight="true" outlineLevel="0" collapsed="false">
      <c r="A9" s="9" t="s">
        <v>22</v>
      </c>
    </row>
    <row r="10" customFormat="false" ht="15" hidden="false" customHeight="true" outlineLevel="0" collapsed="false">
      <c r="A10" s="9" t="s">
        <v>5</v>
      </c>
    </row>
    <row r="11" customFormat="false" ht="15" hidden="false" customHeight="true" outlineLevel="0" collapsed="false">
      <c r="A11" s="10" t="s">
        <v>23</v>
      </c>
      <c r="B11" s="13" t="n">
        <v>1462.092</v>
      </c>
      <c r="C11" s="8" t="s">
        <v>24</v>
      </c>
    </row>
    <row r="12" customFormat="false" ht="15" hidden="false" customHeight="true" outlineLevel="0" collapsed="false">
      <c r="A12" s="10" t="s">
        <v>25</v>
      </c>
      <c r="B12" s="13" t="n">
        <v>1316.191</v>
      </c>
      <c r="C12" s="8" t="s">
        <v>26</v>
      </c>
    </row>
    <row r="13" customFormat="false" ht="15" hidden="false" customHeight="true" outlineLevel="0" collapsed="false">
      <c r="A13" s="10" t="s">
        <v>27</v>
      </c>
      <c r="B13" s="14" t="n">
        <v>1834</v>
      </c>
      <c r="C13" s="8" t="s">
        <v>28</v>
      </c>
    </row>
    <row r="14" customFormat="false" ht="15" hidden="false" customHeight="true" outlineLevel="0" collapsed="false">
      <c r="A14" s="10" t="s">
        <v>29</v>
      </c>
      <c r="B14" s="14" t="n">
        <v>1602</v>
      </c>
      <c r="C14" s="8" t="s">
        <v>30</v>
      </c>
    </row>
    <row r="15" customFormat="false" ht="15" hidden="false" customHeight="true" outlineLevel="0" collapsed="false">
      <c r="A15" s="10" t="s">
        <v>31</v>
      </c>
      <c r="B15" s="15" t="n">
        <f aca="false">ROUND(B39,2)</f>
        <v>0.97</v>
      </c>
      <c r="C15" s="8" t="s">
        <v>32</v>
      </c>
    </row>
    <row r="17" customFormat="false" ht="15" hidden="false" customHeight="true" outlineLevel="0" collapsed="false">
      <c r="A17" s="9" t="s">
        <v>8</v>
      </c>
    </row>
    <row r="18" customFormat="false" ht="15" hidden="false" customHeight="true" outlineLevel="0" collapsed="false">
      <c r="A18" s="10" t="s">
        <v>33</v>
      </c>
      <c r="B18" s="16" t="n">
        <v>550.95</v>
      </c>
      <c r="C18" s="8" t="s">
        <v>34</v>
      </c>
    </row>
    <row r="19" customFormat="false" ht="15" hidden="false" customHeight="true" outlineLevel="0" collapsed="false">
      <c r="A19" s="10" t="s">
        <v>35</v>
      </c>
      <c r="B19" s="13" t="n">
        <v>623.532</v>
      </c>
      <c r="C19" s="8" t="s">
        <v>36</v>
      </c>
    </row>
    <row r="20" customFormat="false" ht="15" hidden="false" customHeight="true" outlineLevel="0" collapsed="false">
      <c r="A20" s="10" t="s">
        <v>37</v>
      </c>
      <c r="B20" s="14" t="n">
        <v>737</v>
      </c>
      <c r="C20" s="8" t="s">
        <v>38</v>
      </c>
    </row>
    <row r="21" customFormat="false" ht="15" hidden="false" customHeight="true" outlineLevel="0" collapsed="false">
      <c r="A21" s="10" t="s">
        <v>39</v>
      </c>
      <c r="B21" s="17" t="n">
        <v>0.205</v>
      </c>
      <c r="C21" s="8" t="s">
        <v>40</v>
      </c>
    </row>
    <row r="23" customFormat="false" ht="15" hidden="false" customHeight="true" outlineLevel="0" collapsed="false">
      <c r="A23" s="9" t="s">
        <v>11</v>
      </c>
    </row>
    <row r="24" customFormat="false" ht="15" hidden="false" customHeight="true" outlineLevel="0" collapsed="false">
      <c r="A24" s="10" t="s">
        <v>33</v>
      </c>
      <c r="B24" s="13" t="n">
        <v>839.247</v>
      </c>
      <c r="C24" s="8" t="s">
        <v>41</v>
      </c>
    </row>
    <row r="25" customFormat="false" ht="15" hidden="false" customHeight="true" outlineLevel="0" collapsed="false">
      <c r="A25" s="10" t="s">
        <v>35</v>
      </c>
      <c r="B25" s="13" t="n">
        <v>995.619</v>
      </c>
      <c r="C25" s="8" t="s">
        <v>42</v>
      </c>
    </row>
    <row r="26" customFormat="false" ht="15" hidden="false" customHeight="true" outlineLevel="0" collapsed="false">
      <c r="A26" s="10" t="s">
        <v>25</v>
      </c>
      <c r="B26" s="13" t="n">
        <v>1183.69</v>
      </c>
      <c r="C26" s="8" t="s">
        <v>43</v>
      </c>
    </row>
    <row r="27" customFormat="false" ht="15" hidden="false" customHeight="true" outlineLevel="0" collapsed="false">
      <c r="A27" s="10" t="s">
        <v>29</v>
      </c>
      <c r="B27" s="14" t="n">
        <v>1305</v>
      </c>
      <c r="C27" s="8" t="s">
        <v>44</v>
      </c>
    </row>
    <row r="29" customFormat="false" ht="14.25" hidden="false" customHeight="true" outlineLevel="0" collapsed="false">
      <c r="A29" s="9" t="s">
        <v>45</v>
      </c>
    </row>
    <row r="30" customFormat="false" ht="14.25" hidden="false" customHeight="true" outlineLevel="0" collapsed="false">
      <c r="A30" s="10" t="s">
        <v>46</v>
      </c>
      <c r="B30" s="13" t="n">
        <v>784.029</v>
      </c>
      <c r="C30" s="8" t="s">
        <v>47</v>
      </c>
    </row>
    <row r="31" customFormat="false" ht="14.25" hidden="false" customHeight="true" outlineLevel="0" collapsed="false">
      <c r="A31" s="10" t="s">
        <v>48</v>
      </c>
      <c r="B31" s="13" t="n">
        <v>1092.584</v>
      </c>
      <c r="C31" s="8" t="s">
        <v>49</v>
      </c>
    </row>
    <row r="32" customFormat="false" ht="14.25" hidden="false" customHeight="true" outlineLevel="0" collapsed="false">
      <c r="A32" s="10" t="s">
        <v>35</v>
      </c>
      <c r="B32" s="13" t="n">
        <v>886.544</v>
      </c>
      <c r="C32" s="8" t="s">
        <v>50</v>
      </c>
    </row>
    <row r="33" customFormat="false" ht="14.25" hidden="false" customHeight="true" outlineLevel="0" collapsed="false">
      <c r="A33" s="10" t="s">
        <v>51</v>
      </c>
      <c r="B33" s="18" t="n">
        <f aca="false">B31/B30-1</f>
        <v>0.393550493667964</v>
      </c>
    </row>
    <row r="34" customFormat="false" ht="15" hidden="false" customHeight="true" outlineLevel="0" collapsed="false">
      <c r="A34" s="10" t="s">
        <v>52</v>
      </c>
      <c r="B34" s="18" t="n">
        <f aca="false">B11/B31-1</f>
        <v>0.338196422426102</v>
      </c>
    </row>
    <row r="35" customFormat="false" ht="15" hidden="false" customHeight="true" outlineLevel="0" collapsed="false">
      <c r="A35" s="10" t="s">
        <v>53</v>
      </c>
      <c r="B35" s="18" t="n">
        <f aca="false">B12/B32-1</f>
        <v>0.484631332455016</v>
      </c>
      <c r="C35" s="8" t="s">
        <v>54</v>
      </c>
    </row>
    <row r="36" customFormat="false" ht="15" hidden="false" customHeight="true" outlineLevel="0" collapsed="false">
      <c r="A36" s="10" t="s">
        <v>55</v>
      </c>
      <c r="B36" s="18" t="n">
        <f aca="false">B33-B5</f>
        <v>0.222350493667964</v>
      </c>
    </row>
    <row r="37" customFormat="false" ht="15" hidden="false" customHeight="true" outlineLevel="0" collapsed="false">
      <c r="A37" s="10" t="s">
        <v>56</v>
      </c>
      <c r="B37" s="18" t="n">
        <f aca="false">B34-B5</f>
        <v>0.166996422426102</v>
      </c>
    </row>
    <row r="38" customFormat="false" ht="14.25" hidden="false" customHeight="true" outlineLevel="0" collapsed="false">
      <c r="A38" s="10" t="s">
        <v>57</v>
      </c>
      <c r="B38" s="19" t="n">
        <f aca="false">B37/B36</f>
        <v>0.751050378487028</v>
      </c>
      <c r="C38" s="8" t="s">
        <v>58</v>
      </c>
    </row>
    <row r="39" customFormat="false" ht="14.25" hidden="false" customHeight="true" outlineLevel="0" collapsed="false">
      <c r="A39" s="10" t="s">
        <v>59</v>
      </c>
      <c r="B39" s="19" t="n">
        <f aca="false">B14/((B11+B13)/2)</f>
        <v>0.972060245891195</v>
      </c>
      <c r="C39" s="8" t="s">
        <v>60</v>
      </c>
    </row>
    <row r="42" customFormat="false" ht="14.25" hidden="false" customHeight="true" outlineLevel="0" collapsed="false">
      <c r="A42" s="9" t="s">
        <v>61</v>
      </c>
    </row>
    <row r="43" customFormat="false" ht="14.25" hidden="false" customHeight="true" outlineLevel="0" collapsed="false">
      <c r="A43" s="8" t="s">
        <v>62</v>
      </c>
    </row>
    <row r="44" customFormat="false" ht="14.25" hidden="false" customHeight="true" outlineLevel="0" collapsed="false">
      <c r="A44" s="8" t="s">
        <v>63</v>
      </c>
    </row>
    <row r="45" customFormat="false" ht="14.25" hidden="false" customHeight="true" outlineLevel="0" collapsed="false">
      <c r="A45" s="8" t="s">
        <v>64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5.5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5" min="4" style="1" width="12"/>
    <col collapsed="false" customWidth="true" hidden="false" outlineLevel="0" max="6" min="6" style="1" width="15.44"/>
    <col collapsed="false" customWidth="false" hidden="false" outlineLevel="0" max="16384" min="7" style="1" width="8.67"/>
  </cols>
  <sheetData>
    <row r="1" customFormat="false" ht="15" hidden="false" customHeight="true" outlineLevel="0" collapsed="false">
      <c r="A1" s="20" t="s">
        <v>65</v>
      </c>
      <c r="B1" s="20"/>
      <c r="C1" s="20"/>
    </row>
    <row r="3" customFormat="false" ht="14.25" hidden="false" customHeight="true" outlineLevel="0" collapsed="false">
      <c r="A3" s="3" t="s">
        <v>66</v>
      </c>
      <c r="B3" s="3" t="s">
        <v>4</v>
      </c>
      <c r="C3" s="3" t="s">
        <v>67</v>
      </c>
      <c r="D3" s="3" t="s">
        <v>68</v>
      </c>
      <c r="E3" s="3" t="s">
        <v>69</v>
      </c>
      <c r="F3" s="3" t="s">
        <v>70</v>
      </c>
    </row>
    <row r="4" customFormat="false" ht="15" hidden="false" customHeight="true" outlineLevel="0" collapsed="false">
      <c r="A4" s="21" t="s">
        <v>71</v>
      </c>
      <c r="B4" s="21" t="s">
        <v>72</v>
      </c>
      <c r="C4" s="22" t="n">
        <f aca="false">Assumptions!$B$11</f>
        <v>1462.092</v>
      </c>
      <c r="D4" s="5" t="n">
        <f aca="false">Assumptions!$B$34</f>
        <v>0.338196422426102</v>
      </c>
      <c r="E4" s="22" t="n">
        <f aca="false">Assumptions!$B$12</f>
        <v>1316.191</v>
      </c>
      <c r="F4" s="5" t="n">
        <f aca="false">Assumptions!$B$35</f>
        <v>0.484631332455016</v>
      </c>
    </row>
    <row r="5" customFormat="false" ht="15" hidden="false" customHeight="true" outlineLevel="0" collapsed="false">
      <c r="A5" s="21" t="s">
        <v>73</v>
      </c>
      <c r="B5" s="21" t="s">
        <v>74</v>
      </c>
      <c r="C5" s="22" t="n">
        <f aca="false">Assumptions!$B$13</f>
        <v>1834</v>
      </c>
      <c r="D5" s="23" t="n">
        <f aca="false">C5/C4-1</f>
        <v>0.254367030255278</v>
      </c>
      <c r="E5" s="22" t="n">
        <f aca="false">Assumptions!$B$14</f>
        <v>1602</v>
      </c>
      <c r="F5" s="23" t="n">
        <f aca="false">E5/E4-1</f>
        <v>0.217148574940871</v>
      </c>
    </row>
    <row r="6" customFormat="false" ht="15" hidden="false" customHeight="true" outlineLevel="0" collapsed="false">
      <c r="A6" s="21" t="s">
        <v>75</v>
      </c>
      <c r="B6" s="21" t="s">
        <v>76</v>
      </c>
      <c r="C6" s="22" t="n">
        <f aca="false">C5*(1+D6)</f>
        <v>2262.37705011614</v>
      </c>
      <c r="D6" s="23" t="n">
        <f aca="false">Assumptions!$B$5+($D$5-Assumptions!$B$5)*Assumptions!$B$6^1</f>
        <v>0.233575272691459</v>
      </c>
      <c r="E6" s="22" t="n">
        <f aca="false">Assumptions!$B$15*(C5+C6)/2</f>
        <v>1986.74286930633</v>
      </c>
      <c r="F6" s="23" t="n">
        <f aca="false">E6/E5-1</f>
        <v>0.240164088206196</v>
      </c>
    </row>
    <row r="7" customFormat="false" ht="15" hidden="false" customHeight="true" outlineLevel="0" collapsed="false">
      <c r="A7" s="21" t="s">
        <v>77</v>
      </c>
      <c r="B7" s="21" t="s">
        <v>76</v>
      </c>
      <c r="C7" s="22" t="n">
        <f aca="false">C6*(1+D7)</f>
        <v>2755.53329016994</v>
      </c>
      <c r="D7" s="23" t="n">
        <f aca="false">Assumptions!$B$5+($D$5-Assumptions!$B$5)*Assumptions!$B$6^2</f>
        <v>0.217981454518594</v>
      </c>
      <c r="E7" s="22" t="n">
        <f aca="false">Assumptions!$B$15*(C6+C7)/2</f>
        <v>2433.68651503874</v>
      </c>
      <c r="F7" s="23" t="n">
        <f aca="false">E7/E6-1</f>
        <v>0.224963004844442</v>
      </c>
    </row>
    <row r="8" customFormat="false" ht="15" hidden="false" customHeight="true" outlineLevel="0" collapsed="false">
      <c r="A8" s="21" t="s">
        <v>78</v>
      </c>
      <c r="B8" s="21" t="s">
        <v>76</v>
      </c>
      <c r="C8" s="22" t="n">
        <f aca="false">C7*(1+D8)</f>
        <v>3323.96148091345</v>
      </c>
      <c r="D8" s="23" t="n">
        <f aca="false">Assumptions!$B$5+($D$5-Assumptions!$B$5)*Assumptions!$B$6^3</f>
        <v>0.206286090888945</v>
      </c>
      <c r="E8" s="22" t="n">
        <f aca="false">Assumptions!$B$15*(C7+C8)/2</f>
        <v>2948.55496397544</v>
      </c>
      <c r="F8" s="23" t="n">
        <f aca="false">E8/E7-1</f>
        <v>0.211559067182693</v>
      </c>
    </row>
    <row r="9" customFormat="false" ht="15" hidden="false" customHeight="true" outlineLevel="0" collapsed="false">
      <c r="C9" s="24"/>
      <c r="D9" s="25"/>
      <c r="E9" s="24"/>
      <c r="F9" s="25"/>
    </row>
    <row r="10" customFormat="false" ht="15" hidden="false" customHeight="true" outlineLevel="0" collapsed="false">
      <c r="A10" s="26" t="s">
        <v>79</v>
      </c>
      <c r="C10" s="27" t="n">
        <f aca="false">(E8/E5)^(1/3)-1</f>
        <v>0.225506367312227</v>
      </c>
      <c r="D10" s="25"/>
      <c r="E10" s="24"/>
      <c r="F10" s="25"/>
    </row>
    <row r="11" customFormat="false" ht="15" hidden="false" customHeight="true" outlineLevel="0" collapsed="false">
      <c r="C11" s="24"/>
      <c r="D11" s="25"/>
      <c r="E11" s="24"/>
      <c r="F11" s="25"/>
    </row>
    <row r="12" customFormat="false" ht="15" hidden="false" customHeight="true" outlineLevel="0" collapsed="false">
      <c r="A12" s="28" t="s">
        <v>80</v>
      </c>
      <c r="C12" s="24"/>
      <c r="D12" s="25"/>
      <c r="E12" s="24"/>
      <c r="F12" s="25"/>
    </row>
    <row r="13" customFormat="false" ht="15" hidden="false" customHeight="true" outlineLevel="0" collapsed="false">
      <c r="A13" s="1" t="s">
        <v>81</v>
      </c>
      <c r="C13" s="24" t="n">
        <f aca="false">Assumptions!$B$13*(1+$D$4)^3</f>
        <v>4395.00045936039</v>
      </c>
      <c r="D13" s="25"/>
      <c r="E13" s="24"/>
      <c r="F13" s="25"/>
    </row>
    <row r="14" customFormat="false" ht="15" hidden="false" customHeight="true" outlineLevel="0" collapsed="false">
      <c r="A14" s="1" t="s">
        <v>82</v>
      </c>
      <c r="C14" s="24" t="n">
        <f aca="false">Assumptions!$B$13*(1+$D$5)^3</f>
        <v>3619.70537644863</v>
      </c>
      <c r="D14" s="25"/>
      <c r="E14" s="24"/>
      <c r="F14" s="25"/>
    </row>
    <row r="15" customFormat="false" ht="15" hidden="false" customHeight="true" outlineLevel="0" collapsed="false">
      <c r="A15" s="1" t="s">
        <v>83</v>
      </c>
      <c r="C15" s="24" t="n">
        <f aca="false">C8</f>
        <v>3323.96148091345</v>
      </c>
      <c r="D15" s="25"/>
      <c r="E15" s="24"/>
      <c r="F15" s="25"/>
    </row>
    <row r="16" customFormat="false" ht="15" hidden="false" customHeight="true" outlineLevel="0" collapsed="false">
      <c r="A16" s="1" t="s">
        <v>84</v>
      </c>
      <c r="C16" s="24" t="n">
        <f aca="false">Assumptions!$B$13*(1+Assumptions!$B$5)^3</f>
        <v>2946.40554029875</v>
      </c>
      <c r="D16" s="25"/>
      <c r="E16" s="24"/>
      <c r="F16" s="2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5.56"/>
    <col collapsed="false" customWidth="true" hidden="false" outlineLevel="0" max="2" min="2" style="1" width="16.44"/>
    <col collapsed="false" customWidth="true" hidden="false" outlineLevel="0" max="3" min="3" style="1" width="8.56"/>
    <col collapsed="false" customWidth="true" hidden="false" outlineLevel="0" max="4" min="4" style="1" width="15.44"/>
    <col collapsed="false" customWidth="false" hidden="false" outlineLevel="0" max="16384" min="5" style="1" width="8.67"/>
  </cols>
  <sheetData>
    <row r="1" customFormat="false" ht="15" hidden="false" customHeight="true" outlineLevel="0" collapsed="false">
      <c r="A1" s="20" t="s">
        <v>85</v>
      </c>
      <c r="B1" s="20"/>
      <c r="C1" s="20"/>
      <c r="D1" s="20"/>
    </row>
    <row r="3" customFormat="false" ht="14.25" hidden="false" customHeight="true" outlineLevel="0" collapsed="false">
      <c r="A3" s="3" t="s">
        <v>66</v>
      </c>
      <c r="B3" s="3" t="s">
        <v>4</v>
      </c>
      <c r="C3" s="3" t="s">
        <v>69</v>
      </c>
      <c r="D3" s="3" t="s">
        <v>70</v>
      </c>
    </row>
    <row r="4" customFormat="false" ht="15" hidden="false" customHeight="true" outlineLevel="0" collapsed="false">
      <c r="A4" s="21" t="s">
        <v>86</v>
      </c>
      <c r="B4" s="21" t="s">
        <v>72</v>
      </c>
      <c r="C4" s="22" t="n">
        <f aca="false">Assumptions!$B$18</f>
        <v>550.95</v>
      </c>
      <c r="D4" s="23"/>
    </row>
    <row r="5" customFormat="false" ht="15" hidden="false" customHeight="true" outlineLevel="0" collapsed="false">
      <c r="A5" s="21" t="s">
        <v>87</v>
      </c>
      <c r="B5" s="21" t="s">
        <v>72</v>
      </c>
      <c r="C5" s="22" t="n">
        <f aca="false">Assumptions!$B$19</f>
        <v>623.532</v>
      </c>
      <c r="D5" s="23" t="n">
        <f aca="false">C5/C4-1</f>
        <v>0.131739722297849</v>
      </c>
    </row>
    <row r="6" customFormat="false" ht="15" hidden="false" customHeight="true" outlineLevel="0" collapsed="false">
      <c r="A6" s="21" t="s">
        <v>71</v>
      </c>
      <c r="B6" s="21" t="s">
        <v>74</v>
      </c>
      <c r="C6" s="22" t="n">
        <f aca="false">Assumptions!$B$20</f>
        <v>737</v>
      </c>
      <c r="D6" s="23" t="n">
        <f aca="false">C6/C5-1</f>
        <v>0.181976225759063</v>
      </c>
    </row>
    <row r="7" customFormat="false" ht="15" hidden="false" customHeight="true" outlineLevel="0" collapsed="false">
      <c r="A7" s="21" t="s">
        <v>73</v>
      </c>
      <c r="B7" s="21" t="s">
        <v>76</v>
      </c>
      <c r="C7" s="22" t="n">
        <f aca="false">C6*(1+D7)</f>
        <v>881.85735</v>
      </c>
      <c r="D7" s="23" t="n">
        <f aca="false">Assumptions!$B$5+(Assumptions!$B$21-Assumptions!$B$5)*Assumptions!$B$6^1</f>
        <v>0.19655</v>
      </c>
    </row>
    <row r="8" customFormat="false" ht="15" hidden="false" customHeight="true" outlineLevel="0" collapsed="false">
      <c r="A8" s="21" t="s">
        <v>75</v>
      </c>
      <c r="B8" s="21" t="s">
        <v>76</v>
      </c>
      <c r="C8" s="22" t="n">
        <f aca="false">C7*(1+D8)</f>
        <v>1049.59764118687</v>
      </c>
      <c r="D8" s="23" t="n">
        <f aca="false">Assumptions!$B$5+(Assumptions!$B$21-Assumptions!$B$5)*Assumptions!$B$6^2</f>
        <v>0.1902125</v>
      </c>
    </row>
    <row r="9" customFormat="false" ht="15" hidden="false" customHeight="true" outlineLevel="0" collapsed="false">
      <c r="A9" s="21" t="s">
        <v>77</v>
      </c>
      <c r="B9" s="21" t="s">
        <v>76</v>
      </c>
      <c r="C9" s="22" t="n">
        <f aca="false">C8*(1+D9)</f>
        <v>1244.25536372287</v>
      </c>
      <c r="D9" s="23" t="n">
        <f aca="false">Assumptions!$B$5+(Assumptions!$B$21-Assumptions!$B$5)*Assumptions!$B$6^3</f>
        <v>0.185459375</v>
      </c>
    </row>
    <row r="10" customFormat="false" ht="15" hidden="false" customHeight="true" outlineLevel="0" collapsed="false">
      <c r="C10" s="24"/>
      <c r="D10" s="25"/>
    </row>
    <row r="11" customFormat="false" ht="15" hidden="false" customHeight="true" outlineLevel="0" collapsed="false">
      <c r="A11" s="26" t="s">
        <v>88</v>
      </c>
      <c r="C11" s="27" t="n">
        <f aca="false">(C9/C6)^(1/3)-1</f>
        <v>0.190731961961636</v>
      </c>
      <c r="D11" s="2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1" zoomScaleNormal="101" zoomScalePageLayoutView="100" workbookViewId="0">
      <selection pane="topLeft" activeCell="C16" activeCellId="0" sqref="C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5.44"/>
    <col collapsed="false" customWidth="false" hidden="false" outlineLevel="0" max="16384" min="5" style="1" width="8.67"/>
  </cols>
  <sheetData>
    <row r="1" customFormat="false" ht="15" hidden="false" customHeight="true" outlineLevel="0" collapsed="false">
      <c r="A1" s="20" t="s">
        <v>89</v>
      </c>
      <c r="B1" s="20"/>
      <c r="C1" s="20"/>
      <c r="D1" s="20"/>
    </row>
    <row r="3" customFormat="false" ht="14.25" hidden="false" customHeight="true" outlineLevel="0" collapsed="false">
      <c r="A3" s="3" t="s">
        <v>66</v>
      </c>
      <c r="B3" s="3" t="s">
        <v>4</v>
      </c>
      <c r="C3" s="3" t="s">
        <v>69</v>
      </c>
      <c r="D3" s="3" t="s">
        <v>70</v>
      </c>
    </row>
    <row r="4" customFormat="false" ht="15" hidden="false" customHeight="true" outlineLevel="0" collapsed="false">
      <c r="A4" s="21" t="s">
        <v>86</v>
      </c>
      <c r="B4" s="21" t="s">
        <v>72</v>
      </c>
      <c r="C4" s="22" t="n">
        <f aca="false">Assumptions!$B$24</f>
        <v>839.247</v>
      </c>
      <c r="D4" s="23"/>
    </row>
    <row r="5" customFormat="false" ht="15" hidden="false" customHeight="true" outlineLevel="0" collapsed="false">
      <c r="A5" s="21" t="s">
        <v>87</v>
      </c>
      <c r="B5" s="21" t="s">
        <v>72</v>
      </c>
      <c r="C5" s="22" t="n">
        <f aca="false">Assumptions!$B$25</f>
        <v>995.619</v>
      </c>
      <c r="D5" s="23" t="n">
        <f aca="false">C5/C4-1</f>
        <v>0.186324169165931</v>
      </c>
    </row>
    <row r="6" customFormat="false" ht="15" hidden="false" customHeight="true" outlineLevel="0" collapsed="false">
      <c r="A6" s="21" t="s">
        <v>71</v>
      </c>
      <c r="B6" s="21" t="s">
        <v>72</v>
      </c>
      <c r="C6" s="22" t="n">
        <f aca="false">Assumptions!$B$26</f>
        <v>1183.69</v>
      </c>
      <c r="D6" s="23" t="n">
        <f aca="false">C6/C5-1</f>
        <v>0.188898564611563</v>
      </c>
    </row>
    <row r="7" customFormat="false" ht="15" hidden="false" customHeight="true" outlineLevel="0" collapsed="false">
      <c r="A7" s="21" t="s">
        <v>73</v>
      </c>
      <c r="B7" s="21" t="s">
        <v>74</v>
      </c>
      <c r="C7" s="22" t="n">
        <f aca="false">Assumptions!$B$27</f>
        <v>1305</v>
      </c>
      <c r="D7" s="23" t="n">
        <f aca="false">C7/C6-1</f>
        <v>0.102484603232265</v>
      </c>
    </row>
    <row r="8" customFormat="false" ht="15" hidden="false" customHeight="true" outlineLevel="0" collapsed="false">
      <c r="A8" s="21" t="s">
        <v>75</v>
      </c>
      <c r="B8" s="21" t="s">
        <v>76</v>
      </c>
      <c r="C8" s="22" t="n">
        <f aca="false">C7*(1+D8)</f>
        <v>1438.74240721811</v>
      </c>
      <c r="D8" s="23" t="n">
        <f aca="false">$D$7</f>
        <v>0.102484603232265</v>
      </c>
    </row>
    <row r="9" customFormat="false" ht="15" hidden="false" customHeight="true" outlineLevel="0" collapsed="false">
      <c r="A9" s="21" t="s">
        <v>77</v>
      </c>
      <c r="B9" s="21" t="s">
        <v>76</v>
      </c>
      <c r="C9" s="22" t="n">
        <f aca="false">C8*(1+D9)</f>
        <v>1586.19135197529</v>
      </c>
      <c r="D9" s="23" t="n">
        <f aca="false">$D$7</f>
        <v>0.102484603232265</v>
      </c>
    </row>
    <row r="10" customFormat="false" ht="15" hidden="false" customHeight="true" outlineLevel="0" collapsed="false">
      <c r="A10" s="21" t="s">
        <v>78</v>
      </c>
      <c r="B10" s="21" t="s">
        <v>76</v>
      </c>
      <c r="C10" s="22" t="n">
        <f aca="false">C9*(1+D10)</f>
        <v>1748.75154333292</v>
      </c>
      <c r="D10" s="23" t="n">
        <f aca="false">$D$7</f>
        <v>0.102484603232265</v>
      </c>
    </row>
    <row r="11" customFormat="false" ht="15" hidden="false" customHeight="true" outlineLevel="0" collapsed="false">
      <c r="C11" s="24"/>
      <c r="D11" s="25"/>
    </row>
    <row r="12" customFormat="false" ht="15" hidden="false" customHeight="true" outlineLevel="0" collapsed="false">
      <c r="A12" s="26" t="s">
        <v>79</v>
      </c>
      <c r="C12" s="27" t="n">
        <f aca="false">(C10/C7)^(1/3)-1</f>
        <v>0.102484603232265</v>
      </c>
      <c r="D12" s="25"/>
    </row>
    <row r="13" customFormat="false" ht="15" hidden="false" customHeight="true" outlineLevel="0" collapsed="false">
      <c r="C13" s="24"/>
      <c r="D13" s="25"/>
    </row>
    <row r="14" customFormat="false" ht="15" hidden="false" customHeight="true" outlineLevel="0" collapsed="false">
      <c r="A14" s="29" t="s">
        <v>90</v>
      </c>
      <c r="B14" s="29"/>
      <c r="C14" s="29"/>
      <c r="D14" s="29"/>
      <c r="E14" s="29"/>
    </row>
    <row r="15" customFormat="false" ht="15" hidden="false" customHeight="true" outlineLevel="0" collapsed="false">
      <c r="A15" s="30"/>
      <c r="B15" s="30"/>
      <c r="C15" s="30"/>
      <c r="D15" s="30"/>
    </row>
  </sheetData>
  <mergeCells count="3">
    <mergeCell ref="A1:D1"/>
    <mergeCell ref="A14:E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2026-08-21T01:36:06Z</dcterms:created>
  <dc:creator>openpyxl</dc:creator>
  <dc:description/>
  <dc:language>en-US</dc:language>
  <cp:lastModifiedBy>Angler Champion</cp:lastModifiedBy>
  <dcterms:modified xsi:type="dcterms:W3CDTF">2026-10-14T14:10:25Z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