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projects\data-security-market-analysis\model\"/>
    </mc:Choice>
  </mc:AlternateContent>
  <xr:revisionPtr revIDLastSave="0" documentId="13_ncr:1_{82529393-77EA-4FF5-9038-38197F0D7A09}" xr6:coauthVersionLast="47" xr6:coauthVersionMax="47" xr10:uidLastSave="{00000000-0000-0000-0000-000000000000}"/>
  <bookViews>
    <workbookView xWindow="-108" yWindow="-108" windowWidth="23256" windowHeight="12576" tabRatio="500" xr2:uid="{00000000-000D-0000-FFFF-FFFF00000000}"/>
  </bookViews>
  <sheets>
    <sheet name="Summary" sheetId="1" r:id="rId1"/>
    <sheet name="Assumptions" sheetId="2" r:id="rId2"/>
    <sheet name="Rubrik" sheetId="3" r:id="rId3"/>
    <sheet name="Varonis" sheetId="4" r:id="rId4"/>
    <sheet name="Commvault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7" i="5" l="1"/>
  <c r="D7" i="5" s="1"/>
  <c r="C6" i="5"/>
  <c r="D6" i="5" s="1"/>
  <c r="C5" i="5"/>
  <c r="D5" i="5" s="1"/>
  <c r="C4" i="5"/>
  <c r="D9" i="4"/>
  <c r="D8" i="4"/>
  <c r="D7" i="4"/>
  <c r="C6" i="4"/>
  <c r="C7" i="4" s="1"/>
  <c r="C8" i="4" s="1"/>
  <c r="C9" i="4" s="1"/>
  <c r="C11" i="4" s="1"/>
  <c r="C5" i="1" s="1"/>
  <c r="D5" i="4"/>
  <c r="C5" i="4"/>
  <c r="C4" i="4"/>
  <c r="C16" i="3"/>
  <c r="C13" i="3"/>
  <c r="E5" i="3"/>
  <c r="C5" i="3"/>
  <c r="E4" i="3"/>
  <c r="F5" i="3" s="1"/>
  <c r="C4" i="3"/>
  <c r="D10" i="5" l="1"/>
  <c r="D9" i="5"/>
  <c r="D8" i="5"/>
  <c r="C8" i="5" s="1"/>
  <c r="C9" i="5" s="1"/>
  <c r="C10" i="5" s="1"/>
  <c r="C12" i="5" s="1"/>
  <c r="C6" i="1" s="1"/>
  <c r="D6" i="4"/>
  <c r="D5" i="3"/>
  <c r="D6" i="3" l="1"/>
  <c r="C6" i="3" s="1"/>
  <c r="D8" i="3"/>
  <c r="C14" i="3"/>
  <c r="D7" i="3"/>
  <c r="C7" i="3" l="1"/>
  <c r="E7" i="3" s="1"/>
  <c r="F7" i="3" s="1"/>
  <c r="E6" i="3"/>
  <c r="F6" i="3" s="1"/>
  <c r="E8" i="3" l="1"/>
  <c r="C8" i="3"/>
  <c r="C15" i="3" s="1"/>
  <c r="C10" i="3" l="1"/>
  <c r="C4" i="1" s="1"/>
  <c r="F8" i="3"/>
</calcChain>
</file>

<file path=xl/sharedStrings.xml><?xml version="1.0" encoding="utf-8"?>
<sst xmlns="http://schemas.openxmlformats.org/spreadsheetml/2006/main" count="119" uniqueCount="71">
  <si>
    <t>Company</t>
  </si>
  <si>
    <t>Projection period</t>
  </si>
  <si>
    <t>3-year revenue CAGR</t>
  </si>
  <si>
    <t>Basis</t>
  </si>
  <si>
    <t>Rubrik</t>
  </si>
  <si>
    <t>FY2027-FY2030</t>
  </si>
  <si>
    <t>ARR growth-decay model, converted to revenue</t>
  </si>
  <si>
    <t>Varonis</t>
  </si>
  <si>
    <t>FY2026-FY2029</t>
  </si>
  <si>
    <t>Revenue growth-decay model</t>
  </si>
  <si>
    <t>Commvault</t>
  </si>
  <si>
    <t>Flat guided growth</t>
  </si>
  <si>
    <t>Fiscal years differ across companies; periods are not calendar-aligned.</t>
  </si>
  <si>
    <t>Academic exercise. Not investment advice. Figures sourced from public filings as of August 2026.</t>
  </si>
  <si>
    <t>All figures USD millions. Blue = input. Black = formula.</t>
  </si>
  <si>
    <t>Shared assumptions</t>
  </si>
  <si>
    <t>Terminal growth rate</t>
  </si>
  <si>
    <t>Mordor Intelligence data security market CAGR (CY2026-CY2031); flat-share assumption</t>
  </si>
  <si>
    <t>Decay factor (k)</t>
  </si>
  <si>
    <t>Derived from Rubrik observed ARR growth deceleration FY2025 to FY2026</t>
  </si>
  <si>
    <t>Company inputs</t>
  </si>
  <si>
    <t>FY2026 exit subscription ARR</t>
  </si>
  <si>
    <t>Q4 FY2026 earnings release</t>
  </si>
  <si>
    <t>FY2026 revenue</t>
  </si>
  <si>
    <t>FY2027 exit subscription ARR (guidance midpoint)</t>
  </si>
  <si>
    <t>Q4 FY2026 earnings release, $1,829-1,839m</t>
  </si>
  <si>
    <t>FY2027 revenue (guidance midpoint)</t>
  </si>
  <si>
    <t>Q4 FY2026 earnings release, $1,597-1,607m</t>
  </si>
  <si>
    <t>Revenue / average-ARR ratio</t>
  </si>
  <si>
    <t>Calibrated to FY2027</t>
  </si>
  <si>
    <t>FY2024 revenue</t>
  </si>
  <si>
    <t>FY2025 10-K</t>
  </si>
  <si>
    <t>FY2025 revenue</t>
  </si>
  <si>
    <t>FY2026 revenue (guidance midpoint)</t>
  </si>
  <si>
    <t>Q2 2026 earnings release, $735-739m</t>
  </si>
  <si>
    <t>FY2026 base growth (SaaS ARR ex-conversions)</t>
  </si>
  <si>
    <t>Q2 2026 earnings release, guided 20-21%</t>
  </si>
  <si>
    <t>FY2026 10-K segment note</t>
  </si>
  <si>
    <t>Q4 FY2026 earnings release, $1,300-1,310m</t>
  </si>
  <si>
    <t>Method</t>
  </si>
  <si>
    <t>ARR growth in year t  =  terminal + (base growth - terminal) x k^t</t>
  </si>
  <si>
    <t>Revenue (Rubrik)  =  ratio x (opening ARR + closing ARR) / 2</t>
  </si>
  <si>
    <t>Commvault: growth held flat, as guided growth is already below the terminal rate</t>
  </si>
  <si>
    <t>FY</t>
  </si>
  <si>
    <t>Exit subscription ARR</t>
  </si>
  <si>
    <t>ARR growth</t>
  </si>
  <si>
    <t>Revenue</t>
  </si>
  <si>
    <t>Revenue growth</t>
  </si>
  <si>
    <t>Reported</t>
  </si>
  <si>
    <t>Company guidance</t>
  </si>
  <si>
    <t>Projected</t>
  </si>
  <si>
    <t>This model</t>
  </si>
  <si>
    <t>Market growth only, flat share</t>
  </si>
  <si>
    <t>3-year revenue CAGR (FY2026-FY2029)</t>
  </si>
  <si>
    <t>Three-year revenue CAGR - summary</t>
  </si>
  <si>
    <t>Data Security Sector - Revenue Projection Model</t>
  </si>
  <si>
    <t>Varonis (NASDAQ: VRNS) - fiscal year ends 31 December</t>
  </si>
  <si>
    <t>Rubrik (NASDAQ: RBRK) - fiscal year ends 31 January</t>
  </si>
  <si>
    <t>Commvault (NASDAQ: CVLT) - fiscal year ends 31 March</t>
  </si>
  <si>
    <t>Benchmark - FY30 exit ARR</t>
  </si>
  <si>
    <t>Constant FY27 growth held</t>
  </si>
  <si>
    <t>FY26</t>
  </si>
  <si>
    <t>FY27</t>
  </si>
  <si>
    <t>FY28</t>
  </si>
  <si>
    <t>FY29</t>
  </si>
  <si>
    <t>FY30</t>
  </si>
  <si>
    <t>3-year revenue CAGR (FY27-FY30)</t>
  </si>
  <si>
    <t>Constant FY26 growth held</t>
  </si>
  <si>
    <t>FY24</t>
  </si>
  <si>
    <t>FY25</t>
  </si>
  <si>
    <t>Growth held flat, guided FY27 growth is below the terminal market rate, so the decay framework does not apply.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</si>
</sst>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;\(0.0%\);\-"/>
    <numFmt numFmtId="165" formatCode="\$#,##0;&quot;($&quot;#,##0\);\-"/>
  </numFmts>
  <fonts count="10" x14ac:knownFonts="1">
    <font>
      <sz val="11"/>
      <color theme="1"/>
      <name val="Calibri"/>
      <family val="2"/>
      <charset val="1"/>
    </font>
    <font>
      <b/>
      <sz val="12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sz val="10"/>
      <color rgb="FF008000"/>
      <name val="Arial"/>
      <charset val="1"/>
    </font>
    <font>
      <i/>
      <sz val="9"/>
      <name val="Arial"/>
      <charset val="1"/>
    </font>
    <font>
      <sz val="10"/>
      <color rgb="FF0000FF"/>
      <name val="Arial"/>
      <charset val="1"/>
    </font>
    <font>
      <b/>
      <sz val="10"/>
      <name val="Arial"/>
      <family val="2"/>
    </font>
    <font>
      <sz val="10"/>
      <name val="Arial"/>
      <family val="2"/>
    </font>
    <font>
      <b/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7" fillId="0" borderId="0" xfId="0" applyFont="1" applyAlignment="1">
      <alignment horizontal="center"/>
    </xf>
    <xf numFmtId="164" fontId="7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64" fontId="6" fillId="2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center"/>
    </xf>
    <xf numFmtId="165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3" fillId="0" borderId="1" xfId="0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"/>
  <sheetViews>
    <sheetView tabSelected="1" zoomScaleNormal="100" workbookViewId="0">
      <selection sqref="A1:D1"/>
    </sheetView>
  </sheetViews>
  <sheetFormatPr defaultColWidth="8.6640625" defaultRowHeight="14.4" x14ac:dyDescent="0.3"/>
  <cols>
    <col min="1" max="1" width="16" style="1" customWidth="1"/>
    <col min="2" max="3" width="22" style="1" customWidth="1"/>
    <col min="4" max="4" width="48" style="1" customWidth="1"/>
    <col min="5" max="16384" width="8.6640625" style="1"/>
  </cols>
  <sheetData>
    <row r="1" spans="1:4" ht="15" customHeight="1" x14ac:dyDescent="0.3">
      <c r="A1" s="2" t="s">
        <v>54</v>
      </c>
      <c r="B1" s="2"/>
      <c r="C1" s="2"/>
      <c r="D1" s="2"/>
    </row>
    <row r="3" spans="1:4" ht="15" customHeight="1" x14ac:dyDescent="0.3">
      <c r="A3" s="3" t="s">
        <v>0</v>
      </c>
      <c r="B3" s="3" t="s">
        <v>1</v>
      </c>
      <c r="C3" s="3" t="s">
        <v>2</v>
      </c>
      <c r="D3" s="3" t="s">
        <v>3</v>
      </c>
    </row>
    <row r="4" spans="1:4" ht="15" customHeight="1" x14ac:dyDescent="0.3">
      <c r="A4" s="25" t="s">
        <v>4</v>
      </c>
      <c r="B4" s="25" t="s">
        <v>5</v>
      </c>
      <c r="C4" s="26">
        <f>Rubrik!C10</f>
        <v>0.22840631567153369</v>
      </c>
      <c r="D4" s="27" t="s">
        <v>6</v>
      </c>
    </row>
    <row r="5" spans="1:4" ht="15" customHeight="1" x14ac:dyDescent="0.3">
      <c r="A5" s="25" t="s">
        <v>7</v>
      </c>
      <c r="B5" s="25" t="s">
        <v>8</v>
      </c>
      <c r="C5" s="26">
        <f>Varonis!C11</f>
        <v>0.19169105392252206</v>
      </c>
      <c r="D5" s="27" t="s">
        <v>9</v>
      </c>
    </row>
    <row r="6" spans="1:4" ht="15" customHeight="1" x14ac:dyDescent="0.3">
      <c r="A6" s="25" t="s">
        <v>10</v>
      </c>
      <c r="B6" s="25" t="s">
        <v>5</v>
      </c>
      <c r="C6" s="26">
        <f>Commvault!C12</f>
        <v>0.10247528934696293</v>
      </c>
      <c r="D6" s="27" t="s">
        <v>11</v>
      </c>
    </row>
    <row r="8" spans="1:4" ht="15" customHeight="1" x14ac:dyDescent="0.3">
      <c r="A8" s="5" t="s">
        <v>12</v>
      </c>
      <c r="B8" s="5"/>
      <c r="C8" s="5"/>
    </row>
    <row r="10" spans="1:4" ht="15" customHeight="1" x14ac:dyDescent="0.3">
      <c r="A10" s="5" t="s">
        <v>13</v>
      </c>
      <c r="B10" s="5"/>
      <c r="C10" s="5"/>
      <c r="D10" s="5"/>
    </row>
  </sheetData>
  <mergeCells count="3">
    <mergeCell ref="A8:C8"/>
    <mergeCell ref="A10:D10"/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7"/>
  <sheetViews>
    <sheetView topLeftCell="A22" zoomScaleNormal="100" workbookViewId="0">
      <selection activeCell="A7" sqref="A7"/>
    </sheetView>
  </sheetViews>
  <sheetFormatPr defaultColWidth="8.6640625" defaultRowHeight="14.4" x14ac:dyDescent="0.3"/>
  <cols>
    <col min="1" max="1" width="59.5546875" style="1" bestFit="1" customWidth="1"/>
    <col min="2" max="2" width="14" style="1" customWidth="1"/>
    <col min="3" max="3" width="70" style="1" customWidth="1"/>
    <col min="4" max="16384" width="8.6640625" style="1"/>
  </cols>
  <sheetData>
    <row r="1" spans="1:3" ht="15" customHeight="1" x14ac:dyDescent="0.3">
      <c r="A1" s="2" t="s">
        <v>55</v>
      </c>
      <c r="B1" s="2"/>
    </row>
    <row r="2" spans="1:3" ht="15" customHeight="1" x14ac:dyDescent="0.3">
      <c r="A2" s="4" t="s">
        <v>14</v>
      </c>
    </row>
    <row r="4" spans="1:3" ht="15" customHeight="1" x14ac:dyDescent="0.3">
      <c r="A4" s="19" t="s">
        <v>15</v>
      </c>
    </row>
    <row r="5" spans="1:3" ht="15" customHeight="1" x14ac:dyDescent="0.3">
      <c r="A5" s="16" t="s">
        <v>16</v>
      </c>
      <c r="B5" s="20">
        <v>0.17119999999999999</v>
      </c>
      <c r="C5" s="4" t="s">
        <v>17</v>
      </c>
    </row>
    <row r="6" spans="1:3" ht="15" customHeight="1" x14ac:dyDescent="0.3">
      <c r="A6" s="16" t="s">
        <v>18</v>
      </c>
      <c r="B6" s="21">
        <v>0.77</v>
      </c>
      <c r="C6" s="4" t="s">
        <v>19</v>
      </c>
    </row>
    <row r="9" spans="1:3" ht="15" customHeight="1" x14ac:dyDescent="0.3">
      <c r="A9" s="19" t="s">
        <v>20</v>
      </c>
    </row>
    <row r="10" spans="1:3" ht="15" customHeight="1" x14ac:dyDescent="0.3">
      <c r="A10" s="19" t="s">
        <v>4</v>
      </c>
    </row>
    <row r="11" spans="1:3" ht="15" customHeight="1" x14ac:dyDescent="0.3">
      <c r="A11" s="16" t="s">
        <v>21</v>
      </c>
      <c r="B11" s="22">
        <v>1460</v>
      </c>
      <c r="C11" s="4" t="s">
        <v>22</v>
      </c>
    </row>
    <row r="12" spans="1:3" ht="15" customHeight="1" x14ac:dyDescent="0.3">
      <c r="A12" s="16" t="s">
        <v>23</v>
      </c>
      <c r="B12" s="22">
        <v>1320</v>
      </c>
      <c r="C12" s="4" t="s">
        <v>22</v>
      </c>
    </row>
    <row r="13" spans="1:3" ht="15" customHeight="1" x14ac:dyDescent="0.3">
      <c r="A13" s="16" t="s">
        <v>24</v>
      </c>
      <c r="B13" s="22">
        <v>1834</v>
      </c>
      <c r="C13" s="4" t="s">
        <v>25</v>
      </c>
    </row>
    <row r="14" spans="1:3" ht="15" customHeight="1" x14ac:dyDescent="0.3">
      <c r="A14" s="16" t="s">
        <v>26</v>
      </c>
      <c r="B14" s="22">
        <v>1602</v>
      </c>
      <c r="C14" s="4" t="s">
        <v>27</v>
      </c>
    </row>
    <row r="15" spans="1:3" ht="15" customHeight="1" x14ac:dyDescent="0.3">
      <c r="A15" s="16" t="s">
        <v>28</v>
      </c>
      <c r="B15" s="23">
        <v>0.97</v>
      </c>
      <c r="C15" s="4" t="s">
        <v>29</v>
      </c>
    </row>
    <row r="17" spans="1:3" ht="15" customHeight="1" x14ac:dyDescent="0.3">
      <c r="A17" s="19" t="s">
        <v>7</v>
      </c>
    </row>
    <row r="18" spans="1:3" ht="15" customHeight="1" x14ac:dyDescent="0.3">
      <c r="A18" s="16" t="s">
        <v>30</v>
      </c>
      <c r="B18" s="22">
        <v>551</v>
      </c>
      <c r="C18" s="4" t="s">
        <v>31</v>
      </c>
    </row>
    <row r="19" spans="1:3" ht="15" customHeight="1" x14ac:dyDescent="0.3">
      <c r="A19" s="16" t="s">
        <v>32</v>
      </c>
      <c r="B19" s="22">
        <v>623.5</v>
      </c>
      <c r="C19" s="4" t="s">
        <v>31</v>
      </c>
    </row>
    <row r="20" spans="1:3" ht="15" customHeight="1" x14ac:dyDescent="0.3">
      <c r="A20" s="16" t="s">
        <v>33</v>
      </c>
      <c r="B20" s="22">
        <v>737</v>
      </c>
      <c r="C20" s="4" t="s">
        <v>34</v>
      </c>
    </row>
    <row r="21" spans="1:3" ht="15" customHeight="1" x14ac:dyDescent="0.3">
      <c r="A21" s="16" t="s">
        <v>35</v>
      </c>
      <c r="B21" s="24">
        <v>0.20499999999999999</v>
      </c>
      <c r="C21" s="4" t="s">
        <v>36</v>
      </c>
    </row>
    <row r="23" spans="1:3" ht="15" customHeight="1" x14ac:dyDescent="0.3">
      <c r="A23" s="19" t="s">
        <v>10</v>
      </c>
    </row>
    <row r="24" spans="1:3" ht="15" customHeight="1" x14ac:dyDescent="0.3">
      <c r="A24" s="16" t="s">
        <v>30</v>
      </c>
      <c r="B24" s="22">
        <v>839.2</v>
      </c>
      <c r="C24" s="4" t="s">
        <v>37</v>
      </c>
    </row>
    <row r="25" spans="1:3" ht="15" customHeight="1" x14ac:dyDescent="0.3">
      <c r="A25" s="16" t="s">
        <v>32</v>
      </c>
      <c r="B25" s="22">
        <v>995.6</v>
      </c>
      <c r="C25" s="4" t="s">
        <v>37</v>
      </c>
    </row>
    <row r="26" spans="1:3" ht="15" customHeight="1" x14ac:dyDescent="0.3">
      <c r="A26" s="16" t="s">
        <v>23</v>
      </c>
      <c r="B26" s="22">
        <v>1183.7</v>
      </c>
      <c r="C26" s="4" t="s">
        <v>37</v>
      </c>
    </row>
    <row r="27" spans="1:3" ht="15" customHeight="1" x14ac:dyDescent="0.3">
      <c r="A27" s="16" t="s">
        <v>26</v>
      </c>
      <c r="B27" s="22">
        <v>1305</v>
      </c>
      <c r="C27" s="4" t="s">
        <v>38</v>
      </c>
    </row>
    <row r="34" spans="1:1" ht="15" customHeight="1" x14ac:dyDescent="0.3">
      <c r="A34" s="19" t="s">
        <v>39</v>
      </c>
    </row>
    <row r="35" spans="1:1" ht="15" customHeight="1" x14ac:dyDescent="0.3">
      <c r="A35" s="4" t="s">
        <v>40</v>
      </c>
    </row>
    <row r="36" spans="1:1" ht="15" customHeight="1" x14ac:dyDescent="0.3">
      <c r="A36" s="4" t="s">
        <v>41</v>
      </c>
    </row>
    <row r="37" spans="1:1" ht="15" customHeight="1" x14ac:dyDescent="0.3">
      <c r="A37" s="4" t="s">
        <v>42</v>
      </c>
    </row>
  </sheetData>
  <mergeCells count="1"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6"/>
  <sheetViews>
    <sheetView zoomScaleNormal="100" workbookViewId="0">
      <selection activeCell="D17" sqref="D17"/>
    </sheetView>
  </sheetViews>
  <sheetFormatPr defaultColWidth="8.6640625" defaultRowHeight="14.4" x14ac:dyDescent="0.3"/>
  <cols>
    <col min="1" max="1" width="35.5546875" style="1" bestFit="1" customWidth="1"/>
    <col min="2" max="2" width="18" style="1" customWidth="1"/>
    <col min="3" max="3" width="20" style="1" customWidth="1"/>
    <col min="4" max="5" width="12" style="1" customWidth="1"/>
    <col min="6" max="6" width="15.44140625" style="1" bestFit="1" customWidth="1"/>
    <col min="7" max="16384" width="8.6640625" style="1"/>
  </cols>
  <sheetData>
    <row r="1" spans="1:6" ht="15" customHeight="1" x14ac:dyDescent="0.3">
      <c r="A1" s="6" t="s">
        <v>57</v>
      </c>
      <c r="B1" s="2"/>
      <c r="C1" s="2"/>
    </row>
    <row r="3" spans="1:6" ht="14.4" customHeight="1" x14ac:dyDescent="0.3">
      <c r="A3" s="3" t="s">
        <v>43</v>
      </c>
      <c r="B3" s="3" t="s">
        <v>3</v>
      </c>
      <c r="C3" s="3" t="s">
        <v>44</v>
      </c>
      <c r="D3" s="3" t="s">
        <v>45</v>
      </c>
      <c r="E3" s="3" t="s">
        <v>46</v>
      </c>
      <c r="F3" s="3" t="s">
        <v>47</v>
      </c>
    </row>
    <row r="4" spans="1:6" ht="15" customHeight="1" x14ac:dyDescent="0.3">
      <c r="A4" s="7" t="s">
        <v>61</v>
      </c>
      <c r="B4" s="7" t="s">
        <v>48</v>
      </c>
      <c r="C4" s="8">
        <f>Assumptions!$B$11</f>
        <v>1460</v>
      </c>
      <c r="D4" s="9">
        <v>0.33900000000000002</v>
      </c>
      <c r="E4" s="8">
        <f>Assumptions!$B$12</f>
        <v>1320</v>
      </c>
      <c r="F4" s="9">
        <v>0.48899999999999999</v>
      </c>
    </row>
    <row r="5" spans="1:6" ht="15" customHeight="1" x14ac:dyDescent="0.3">
      <c r="A5" s="7" t="s">
        <v>62</v>
      </c>
      <c r="B5" s="7" t="s">
        <v>49</v>
      </c>
      <c r="C5" s="8">
        <f>Assumptions!$B$13</f>
        <v>1834</v>
      </c>
      <c r="D5" s="10">
        <f>C5/C4-1</f>
        <v>0.25616438356164384</v>
      </c>
      <c r="E5" s="8">
        <f>Assumptions!$B$14</f>
        <v>1602</v>
      </c>
      <c r="F5" s="10">
        <f>E5/E4-1</f>
        <v>0.21363636363636362</v>
      </c>
    </row>
    <row r="6" spans="1:6" ht="15" customHeight="1" x14ac:dyDescent="0.3">
      <c r="A6" s="7" t="s">
        <v>63</v>
      </c>
      <c r="B6" s="7" t="s">
        <v>50</v>
      </c>
      <c r="C6" s="8">
        <f>C5*(1+D6)</f>
        <v>2267.9658031780823</v>
      </c>
      <c r="D6" s="10">
        <f>Assumptions!$B$5+($D$5-Assumptions!$B$5)*Assumptions!$B$6^1</f>
        <v>0.23662257534246575</v>
      </c>
      <c r="E6" s="8">
        <f>Assumptions!$B$15*(C5+C6)/2</f>
        <v>1989.4534145413697</v>
      </c>
      <c r="F6" s="10">
        <f>E6/E5-1</f>
        <v>0.24185606400834558</v>
      </c>
    </row>
    <row r="7" spans="1:6" ht="15" customHeight="1" x14ac:dyDescent="0.3">
      <c r="A7" s="7" t="s">
        <v>64</v>
      </c>
      <c r="B7" s="7" t="s">
        <v>50</v>
      </c>
      <c r="C7" s="8">
        <f>C6*(1+D7)</f>
        <v>2770.4911946792363</v>
      </c>
      <c r="D7" s="10">
        <f>Assumptions!$B$5+($D$5-Assumptions!$B$5)*Assumptions!$B$6^2</f>
        <v>0.22157538301369861</v>
      </c>
      <c r="E7" s="8">
        <f>Assumptions!$B$15*(C6+C7)/2</f>
        <v>2443.6516439607994</v>
      </c>
      <c r="F7" s="10">
        <f>E7/E6-1</f>
        <v>0.22830302338300101</v>
      </c>
    </row>
    <row r="8" spans="1:6" ht="15" customHeight="1" x14ac:dyDescent="0.3">
      <c r="A8" s="7" t="s">
        <v>65</v>
      </c>
      <c r="B8" s="7" t="s">
        <v>50</v>
      </c>
      <c r="C8" s="8">
        <f>C7*(1+D8)</f>
        <v>3352.263994610717</v>
      </c>
      <c r="D8" s="10">
        <f>Assumptions!$B$5+($D$5-Assumptions!$B$5)*Assumptions!$B$6^3</f>
        <v>0.20998904492054793</v>
      </c>
      <c r="E8" s="8">
        <f>Assumptions!$B$15*(C7+C8)/2</f>
        <v>2969.5362668056273</v>
      </c>
      <c r="F8" s="10">
        <f>E8/E7-1</f>
        <v>0.21520441514014088</v>
      </c>
    </row>
    <row r="9" spans="1:6" ht="15" customHeight="1" x14ac:dyDescent="0.3">
      <c r="C9" s="11"/>
      <c r="D9" s="12"/>
      <c r="E9" s="11"/>
      <c r="F9" s="12"/>
    </row>
    <row r="10" spans="1:6" ht="15" customHeight="1" x14ac:dyDescent="0.3">
      <c r="A10" s="13" t="s">
        <v>66</v>
      </c>
      <c r="C10" s="14">
        <f>(E8/E5)^(1/3)-1</f>
        <v>0.22840631567153369</v>
      </c>
      <c r="D10" s="12"/>
      <c r="E10" s="11"/>
      <c r="F10" s="12"/>
    </row>
    <row r="11" spans="1:6" ht="15" customHeight="1" x14ac:dyDescent="0.3">
      <c r="C11" s="11"/>
      <c r="D11" s="12"/>
      <c r="E11" s="11"/>
      <c r="F11" s="12"/>
    </row>
    <row r="12" spans="1:6" ht="15" customHeight="1" x14ac:dyDescent="0.3">
      <c r="A12" s="15" t="s">
        <v>59</v>
      </c>
      <c r="C12" s="11"/>
      <c r="D12" s="12"/>
      <c r="E12" s="11"/>
      <c r="F12" s="12"/>
    </row>
    <row r="13" spans="1:6" ht="15" customHeight="1" x14ac:dyDescent="0.3">
      <c r="A13" s="1" t="s">
        <v>67</v>
      </c>
      <c r="C13" s="11">
        <f>Assumptions!$B$13*(1+$D$4)^3</f>
        <v>4402.9227156459992</v>
      </c>
      <c r="D13" s="12"/>
      <c r="E13" s="11"/>
      <c r="F13" s="12"/>
    </row>
    <row r="14" spans="1:6" ht="15" customHeight="1" x14ac:dyDescent="0.3">
      <c r="A14" s="1" t="s">
        <v>60</v>
      </c>
      <c r="C14" s="11">
        <f>Assumptions!$B$13*(1+$D$5)^3</f>
        <v>3635.2874569543237</v>
      </c>
      <c r="D14" s="12"/>
      <c r="E14" s="11"/>
      <c r="F14" s="12"/>
    </row>
    <row r="15" spans="1:6" ht="15" customHeight="1" x14ac:dyDescent="0.3">
      <c r="A15" s="1" t="s">
        <v>51</v>
      </c>
      <c r="C15" s="11">
        <f>C8</f>
        <v>3352.263994610717</v>
      </c>
      <c r="D15" s="12"/>
      <c r="E15" s="11"/>
      <c r="F15" s="12"/>
    </row>
    <row r="16" spans="1:6" ht="15" customHeight="1" x14ac:dyDescent="0.3">
      <c r="A16" s="1" t="s">
        <v>52</v>
      </c>
      <c r="C16" s="11">
        <f>Assumptions!$B$13*(1+Assumptions!$B$5)^3</f>
        <v>2946.4055402987519</v>
      </c>
      <c r="D16" s="12"/>
      <c r="E16" s="11"/>
      <c r="F16" s="12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zoomScaleNormal="100" workbookViewId="0">
      <selection activeCell="C10" sqref="C10"/>
    </sheetView>
  </sheetViews>
  <sheetFormatPr defaultColWidth="8.6640625" defaultRowHeight="14.4" x14ac:dyDescent="0.3"/>
  <cols>
    <col min="1" max="1" width="35.5546875" style="1" bestFit="1" customWidth="1"/>
    <col min="2" max="2" width="16.44140625" style="1" bestFit="1" customWidth="1"/>
    <col min="3" max="3" width="8.5546875" style="1" bestFit="1" customWidth="1"/>
    <col min="4" max="4" width="15.44140625" style="1" bestFit="1" customWidth="1"/>
    <col min="5" max="16384" width="8.6640625" style="1"/>
  </cols>
  <sheetData>
    <row r="1" spans="1:4" ht="15" customHeight="1" x14ac:dyDescent="0.3">
      <c r="A1" s="6" t="s">
        <v>56</v>
      </c>
      <c r="B1" s="2"/>
      <c r="C1" s="2"/>
      <c r="D1" s="2"/>
    </row>
    <row r="3" spans="1:4" x14ac:dyDescent="0.3">
      <c r="A3" s="3" t="s">
        <v>43</v>
      </c>
      <c r="B3" s="3" t="s">
        <v>3</v>
      </c>
      <c r="C3" s="3" t="s">
        <v>46</v>
      </c>
      <c r="D3" s="3" t="s">
        <v>47</v>
      </c>
    </row>
    <row r="4" spans="1:4" ht="15" customHeight="1" x14ac:dyDescent="0.3">
      <c r="A4" s="7" t="s">
        <v>68</v>
      </c>
      <c r="B4" s="7" t="s">
        <v>48</v>
      </c>
      <c r="C4" s="8">
        <f>Assumptions!$B$18</f>
        <v>551</v>
      </c>
      <c r="D4" s="10"/>
    </row>
    <row r="5" spans="1:4" ht="15" customHeight="1" x14ac:dyDescent="0.3">
      <c r="A5" s="7" t="s">
        <v>69</v>
      </c>
      <c r="B5" s="7" t="s">
        <v>48</v>
      </c>
      <c r="C5" s="8">
        <f>Assumptions!$B$19</f>
        <v>623.5</v>
      </c>
      <c r="D5" s="10">
        <f>C5/C4-1</f>
        <v>0.13157894736842102</v>
      </c>
    </row>
    <row r="6" spans="1:4" ht="15" customHeight="1" x14ac:dyDescent="0.3">
      <c r="A6" s="7" t="s">
        <v>61</v>
      </c>
      <c r="B6" s="7" t="s">
        <v>49</v>
      </c>
      <c r="C6" s="8">
        <f>Assumptions!$B$20</f>
        <v>737</v>
      </c>
      <c r="D6" s="10">
        <f>C6/C5-1</f>
        <v>0.1820368885324779</v>
      </c>
    </row>
    <row r="7" spans="1:4" ht="15" customHeight="1" x14ac:dyDescent="0.3">
      <c r="A7" s="7" t="s">
        <v>62</v>
      </c>
      <c r="B7" s="7" t="s">
        <v>50</v>
      </c>
      <c r="C7" s="8">
        <f>C6*(1+D7)</f>
        <v>882.35556199999996</v>
      </c>
      <c r="D7" s="10">
        <f>Assumptions!$B$5+(Assumptions!$B$21-Assumptions!$B$5)*Assumptions!$B$6^1</f>
        <v>0.19722599999999998</v>
      </c>
    </row>
    <row r="8" spans="1:4" ht="15" customHeight="1" x14ac:dyDescent="0.3">
      <c r="A8" s="7" t="s">
        <v>63</v>
      </c>
      <c r="B8" s="7" t="s">
        <v>50</v>
      </c>
      <c r="C8" s="8">
        <f>C7*(1+D8)</f>
        <v>1051.0972573239912</v>
      </c>
      <c r="D8" s="10">
        <f>Assumptions!$B$5+(Assumptions!$B$21-Assumptions!$B$5)*Assumptions!$B$6^2</f>
        <v>0.19124001999999998</v>
      </c>
    </row>
    <row r="9" spans="1:4" ht="15" customHeight="1" x14ac:dyDescent="0.3">
      <c r="A9" s="7" t="s">
        <v>64</v>
      </c>
      <c r="B9" s="7" t="s">
        <v>50</v>
      </c>
      <c r="C9" s="8">
        <f>C8*(1+D9)</f>
        <v>1247.2643955230715</v>
      </c>
      <c r="D9" s="10">
        <f>Assumptions!$B$5+(Assumptions!$B$21-Assumptions!$B$5)*Assumptions!$B$6^3</f>
        <v>0.18663081539999998</v>
      </c>
    </row>
    <row r="10" spans="1:4" ht="15" customHeight="1" x14ac:dyDescent="0.3">
      <c r="C10" s="11"/>
      <c r="D10" s="12"/>
    </row>
    <row r="11" spans="1:4" ht="15" customHeight="1" x14ac:dyDescent="0.3">
      <c r="A11" s="13" t="s">
        <v>53</v>
      </c>
      <c r="C11" s="14">
        <f>(C9/C6)^(1/3)-1</f>
        <v>0.19169105392252206</v>
      </c>
      <c r="D11" s="12"/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5"/>
  <sheetViews>
    <sheetView zoomScale="101" zoomScaleNormal="100" workbookViewId="0">
      <selection activeCell="C16" sqref="C16"/>
    </sheetView>
  </sheetViews>
  <sheetFormatPr defaultColWidth="8.6640625" defaultRowHeight="14.4" x14ac:dyDescent="0.3"/>
  <cols>
    <col min="1" max="1" width="34" style="1" customWidth="1"/>
    <col min="2" max="2" width="18" style="1" customWidth="1"/>
    <col min="3" max="3" width="14" style="1" customWidth="1"/>
    <col min="4" max="4" width="15.44140625" style="1" bestFit="1" customWidth="1"/>
    <col min="5" max="16384" width="8.6640625" style="1"/>
  </cols>
  <sheetData>
    <row r="1" spans="1:5" ht="15" customHeight="1" x14ac:dyDescent="0.3">
      <c r="A1" s="6" t="s">
        <v>58</v>
      </c>
      <c r="B1" s="6"/>
      <c r="C1" s="6"/>
      <c r="D1" s="6"/>
    </row>
    <row r="3" spans="1:5" x14ac:dyDescent="0.3">
      <c r="A3" s="3" t="s">
        <v>43</v>
      </c>
      <c r="B3" s="3" t="s">
        <v>3</v>
      </c>
      <c r="C3" s="3" t="s">
        <v>46</v>
      </c>
      <c r="D3" s="3" t="s">
        <v>47</v>
      </c>
    </row>
    <row r="4" spans="1:5" ht="15" customHeight="1" x14ac:dyDescent="0.3">
      <c r="A4" s="7" t="s">
        <v>68</v>
      </c>
      <c r="B4" s="7" t="s">
        <v>48</v>
      </c>
      <c r="C4" s="8">
        <f>Assumptions!$B$24</f>
        <v>839.2</v>
      </c>
      <c r="D4" s="10"/>
    </row>
    <row r="5" spans="1:5" ht="15" customHeight="1" x14ac:dyDescent="0.3">
      <c r="A5" s="7" t="s">
        <v>69</v>
      </c>
      <c r="B5" s="7" t="s">
        <v>48</v>
      </c>
      <c r="C5" s="8">
        <f>Assumptions!$B$25</f>
        <v>995.6</v>
      </c>
      <c r="D5" s="10">
        <f>C5/C4-1</f>
        <v>0.18636796949475687</v>
      </c>
    </row>
    <row r="6" spans="1:5" ht="15" customHeight="1" x14ac:dyDescent="0.3">
      <c r="A6" s="7" t="s">
        <v>61</v>
      </c>
      <c r="B6" s="7" t="s">
        <v>48</v>
      </c>
      <c r="C6" s="8">
        <f>Assumptions!$B$26</f>
        <v>1183.7</v>
      </c>
      <c r="D6" s="10">
        <f>C6/C5-1</f>
        <v>0.18893129770992378</v>
      </c>
    </row>
    <row r="7" spans="1:5" ht="15" customHeight="1" x14ac:dyDescent="0.3">
      <c r="A7" s="7" t="s">
        <v>62</v>
      </c>
      <c r="B7" s="7" t="s">
        <v>49</v>
      </c>
      <c r="C7" s="8">
        <f>Assumptions!$B$27</f>
        <v>1305</v>
      </c>
      <c r="D7" s="10">
        <f>C7/C6-1</f>
        <v>0.10247528934696293</v>
      </c>
    </row>
    <row r="8" spans="1:5" ht="15" customHeight="1" x14ac:dyDescent="0.3">
      <c r="A8" s="7" t="s">
        <v>63</v>
      </c>
      <c r="B8" s="7" t="s">
        <v>50</v>
      </c>
      <c r="C8" s="8">
        <f>C7*(1+D8)</f>
        <v>1438.7302525977866</v>
      </c>
      <c r="D8" s="10">
        <f>$D$7</f>
        <v>0.10247528934696293</v>
      </c>
    </row>
    <row r="9" spans="1:5" ht="15" customHeight="1" x14ac:dyDescent="0.3">
      <c r="A9" s="7" t="s">
        <v>64</v>
      </c>
      <c r="B9" s="7" t="s">
        <v>50</v>
      </c>
      <c r="C9" s="8">
        <f>C8*(1+D9)</f>
        <v>1586.1645515249738</v>
      </c>
      <c r="D9" s="10">
        <f>$D$7</f>
        <v>0.10247528934696293</v>
      </c>
    </row>
    <row r="10" spans="1:5" ht="15" customHeight="1" x14ac:dyDescent="0.3">
      <c r="A10" s="7" t="s">
        <v>65</v>
      </c>
      <c r="B10" s="7" t="s">
        <v>50</v>
      </c>
      <c r="C10" s="8">
        <f>C9*(1+D10)</f>
        <v>1748.7072228943912</v>
      </c>
      <c r="D10" s="10">
        <f>$D$7</f>
        <v>0.10247528934696293</v>
      </c>
    </row>
    <row r="11" spans="1:5" ht="15" customHeight="1" x14ac:dyDescent="0.3">
      <c r="C11" s="11"/>
      <c r="D11" s="12"/>
    </row>
    <row r="12" spans="1:5" ht="15" customHeight="1" x14ac:dyDescent="0.3">
      <c r="A12" s="13" t="s">
        <v>66</v>
      </c>
      <c r="C12" s="14">
        <f>(C10/C7)^(1/3)-1</f>
        <v>0.10247528934696293</v>
      </c>
      <c r="D12" s="12"/>
    </row>
    <row r="13" spans="1:5" ht="15" customHeight="1" x14ac:dyDescent="0.3">
      <c r="C13" s="11"/>
      <c r="D13" s="12"/>
    </row>
    <row r="14" spans="1:5" ht="15" customHeight="1" x14ac:dyDescent="0.3">
      <c r="A14" s="18" t="s">
        <v>70</v>
      </c>
      <c r="B14" s="18"/>
      <c r="C14" s="18"/>
      <c r="D14" s="18"/>
      <c r="E14" s="18"/>
    </row>
    <row r="15" spans="1:5" ht="15" customHeight="1" x14ac:dyDescent="0.3">
      <c r="A15" s="17"/>
      <c r="B15" s="17"/>
      <c r="C15" s="17"/>
      <c r="D15" s="17"/>
    </row>
  </sheetData>
  <mergeCells count="3">
    <mergeCell ref="A1:D1"/>
    <mergeCell ref="A15:D15"/>
    <mergeCell ref="A14:E1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Assumptions</vt:lpstr>
      <vt:lpstr>Rubrik</vt:lpstr>
      <vt:lpstr>Varonis</vt:lpstr>
      <vt:lpstr>Commvault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Kashyap Madhav</cp:lastModifiedBy>
  <cp:revision>0</cp:revision>
  <dcterms:created xsi:type="dcterms:W3CDTF">2026-08-21T01:36:06Z</dcterms:created>
  <dcterms:modified xsi:type="dcterms:W3CDTF">2026-08-21T01:57:18Z</dcterms:modified>
  <dc:language>en-US</dc:language>
</cp:coreProperties>
</file>